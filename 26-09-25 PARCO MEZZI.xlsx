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64011"/>
  <bookViews>
    <workbookView xWindow="0" yWindow="0" windowWidth="28800" windowHeight="12180" tabRatio="758"/>
  </bookViews>
  <sheets>
    <sheet name="PARCO MEZZI" sheetId="1" r:id="rId1"/>
    <sheet name="Elenchi a discesa" sheetId="2" r:id="rId2"/>
  </sheets>
  <definedNames>
    <definedName name="FiltroDati_COLORE">#N/A</definedName>
    <definedName name="FiltroDati_O._P.">#N/A</definedName>
    <definedName name="FiltroDati_Ricoveri">#N/A</definedName>
    <definedName name="FiltroDati_SITUAZIONE">#N/A</definedName>
  </definedName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3"/>
        <x14:slicerCache r:id="rId4"/>
        <x14:slicerCache r:id="rId5"/>
        <x14:slicerCache r:id="rId6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654" i="1" l="1"/>
  <c r="V654" i="1"/>
  <c r="Y654" i="1" l="1"/>
  <c r="AL2" i="1" l="1"/>
  <c r="AK2" i="1"/>
  <c r="S2" i="1" l="1"/>
  <c r="R654" i="1"/>
  <c r="AQ2" i="1" l="1"/>
  <c r="L654" i="1" l="1"/>
  <c r="H654" i="1" l="1"/>
  <c r="K654" i="1"/>
  <c r="AJ654" i="1"/>
  <c r="AM654" i="1"/>
  <c r="AN654" i="1"/>
  <c r="AO654" i="1"/>
  <c r="AP654" i="1"/>
  <c r="AQ654" i="1"/>
  <c r="AS654" i="1"/>
  <c r="AU654" i="1"/>
  <c r="AV654" i="1"/>
  <c r="AW654" i="1"/>
  <c r="AX654" i="1"/>
  <c r="AY654" i="1"/>
  <c r="AZ654" i="1"/>
  <c r="AI654" i="1"/>
  <c r="AH654" i="1"/>
  <c r="C654" i="1"/>
  <c r="D654" i="1"/>
  <c r="F654" i="1"/>
  <c r="G654" i="1"/>
  <c r="M654" i="1"/>
  <c r="I654" i="1"/>
  <c r="N654" i="1"/>
  <c r="O654" i="1"/>
  <c r="Q654" i="1"/>
  <c r="S654" i="1"/>
  <c r="T654" i="1"/>
  <c r="U654" i="1"/>
  <c r="X654" i="1"/>
  <c r="Z654" i="1"/>
  <c r="AA654" i="1"/>
  <c r="AB654" i="1"/>
  <c r="AC654" i="1"/>
  <c r="AD654" i="1"/>
  <c r="AE654" i="1"/>
  <c r="AG654" i="1"/>
  <c r="E654" i="1"/>
</calcChain>
</file>

<file path=xl/sharedStrings.xml><?xml version="1.0" encoding="utf-8"?>
<sst xmlns="http://schemas.openxmlformats.org/spreadsheetml/2006/main" count="862" uniqueCount="701">
  <si>
    <t>ID.</t>
  </si>
  <si>
    <t xml:space="preserve">       Tetra</t>
  </si>
  <si>
    <t xml:space="preserve">       Telepass</t>
  </si>
  <si>
    <t xml:space="preserve">       Pn.Termici</t>
  </si>
  <si>
    <t>COLORE</t>
  </si>
  <si>
    <t>SEZIONE</t>
  </si>
  <si>
    <t>CASA COSTRUTTRICE</t>
  </si>
  <si>
    <t>MODELLO</t>
  </si>
  <si>
    <t>TG POL.</t>
  </si>
  <si>
    <t xml:space="preserve">       Ricoveri      </t>
  </si>
  <si>
    <t xml:space="preserve">       Disattiv. Tetra</t>
  </si>
  <si>
    <t>Alimentazione</t>
  </si>
  <si>
    <t>Cod.Mod.</t>
  </si>
  <si>
    <t>Conto</t>
  </si>
  <si>
    <t>Serb.</t>
  </si>
  <si>
    <t>Ente</t>
  </si>
  <si>
    <t>GARANZIA     TEMPO / KM</t>
  </si>
  <si>
    <t>NUMERO VERDE</t>
  </si>
  <si>
    <t>MODELLO PNEUMATICI</t>
  </si>
  <si>
    <t>TERMICHE</t>
  </si>
  <si>
    <t>N° TELAIO</t>
  </si>
  <si>
    <t>DATA REVISIONE</t>
  </si>
  <si>
    <t>CARTA CIRC.NE POLIZIA</t>
  </si>
  <si>
    <t>SITUAZIONE</t>
  </si>
  <si>
    <t>IN CESSIONE TEMPORANEA DAL</t>
  </si>
  <si>
    <t>MINISTERO INT.</t>
  </si>
  <si>
    <t>06 - SERVIZI INFO-INVESTIGATIVO</t>
  </si>
  <si>
    <t>•</t>
  </si>
  <si>
    <t>(t)</t>
  </si>
  <si>
    <t>(*)</t>
  </si>
  <si>
    <t>Bianco Ghiaccio</t>
  </si>
  <si>
    <t>D.I.G.O.S.</t>
  </si>
  <si>
    <t>1^ e 2^ Sezione</t>
  </si>
  <si>
    <t>Renault</t>
  </si>
  <si>
    <t>Megane 1.5 dci</t>
  </si>
  <si>
    <t>FC*820*FF</t>
  </si>
  <si>
    <t>C0382</t>
  </si>
  <si>
    <t>Gasolio</t>
  </si>
  <si>
    <t>RN66</t>
  </si>
  <si>
    <t>NO PACCHETTO</t>
  </si>
  <si>
    <t>FRANCO &amp; C.   24h su 24h 0113857070 - 0113854382 Numero soccorso DA UTILIZZARE ANCHE PER INCIDENTE</t>
  </si>
  <si>
    <t>195/65 R15 91T</t>
  </si>
  <si>
    <t>SI</t>
  </si>
  <si>
    <t>VF1BZ890H53492384</t>
  </si>
  <si>
    <t>\\Motopdc01\dati\incidenti stradali\CARTA CIRCOLAZIONE\C0382.pdf</t>
  </si>
  <si>
    <t xml:space="preserve">DIGOS 1^e 2^ </t>
  </si>
  <si>
    <t>Subaru</t>
  </si>
  <si>
    <t>XV 2.0 Comfort</t>
  </si>
  <si>
    <t>Jeep</t>
  </si>
  <si>
    <t>Renegade 2.0</t>
  </si>
  <si>
    <t>Alfa Romeo</t>
  </si>
  <si>
    <t>Giulietta 1.6</t>
  </si>
  <si>
    <t>Giulietta 2.0</t>
  </si>
  <si>
    <t>Fiat</t>
  </si>
  <si>
    <t>Tipo 1.6 Mjet</t>
  </si>
  <si>
    <t>Giulia 2.0</t>
  </si>
  <si>
    <t>Renegade 2.0 Mjet</t>
  </si>
  <si>
    <t>Citroen</t>
  </si>
  <si>
    <t>C3 Blue HDI</t>
  </si>
  <si>
    <t>Panda 4x4 1.2</t>
  </si>
  <si>
    <t>13 - SERVIZIO DI COMPETENZA</t>
  </si>
  <si>
    <t>Grande Punto 1.3</t>
  </si>
  <si>
    <t>3^ Sezione</t>
  </si>
  <si>
    <t>Ducati</t>
  </si>
  <si>
    <t>Multistrada 950</t>
  </si>
  <si>
    <t xml:space="preserve">DIGOS 3^ </t>
  </si>
  <si>
    <t>65 - GIUDIZIALE CUSTODIA DISPOSTA DA A.G.</t>
  </si>
  <si>
    <t>Yamaha</t>
  </si>
  <si>
    <t>X-MAX 300</t>
  </si>
  <si>
    <t>Piaggio</t>
  </si>
  <si>
    <t>Beverly 300</t>
  </si>
  <si>
    <t>SEQUESTRO</t>
  </si>
  <si>
    <t>47 - ANTIDROGA DA AUTORITA' GIUDIZIARIA</t>
  </si>
  <si>
    <t>SQUADRA MOBILE</t>
  </si>
  <si>
    <t>Affari Generali</t>
  </si>
  <si>
    <t>Range</t>
  </si>
  <si>
    <t>Rover Evoque</t>
  </si>
  <si>
    <t>Sq. MOBILE Aff.Gen.</t>
  </si>
  <si>
    <t>Mercedes-Benz</t>
  </si>
  <si>
    <t>GLC 250</t>
  </si>
  <si>
    <t>C3 1.2</t>
  </si>
  <si>
    <t>B.M.W.</t>
  </si>
  <si>
    <t>525 TD S.W.</t>
  </si>
  <si>
    <t>AUTOCENTRO</t>
  </si>
  <si>
    <t>CONFISCA Definit.</t>
  </si>
  <si>
    <t>U.T.L.P.</t>
  </si>
  <si>
    <t>1^ Sezione - Affari Generali</t>
  </si>
  <si>
    <t>Grande Punto 1.4</t>
  </si>
  <si>
    <t>U.T.L.P.  1^ Aff.Gen</t>
  </si>
  <si>
    <t>3^ Sezione - Accasermamento</t>
  </si>
  <si>
    <t>Peugeot</t>
  </si>
  <si>
    <t>207 Tecno</t>
  </si>
  <si>
    <t>U.T.L.P.  3^ Accaserm.</t>
  </si>
  <si>
    <t>4^ Sezione - Informatica &amp; Telecomunicazioni</t>
  </si>
  <si>
    <t>C3 Nemo</t>
  </si>
  <si>
    <t>U.T.L.P.  4^ Inform.</t>
  </si>
  <si>
    <t>10 - SERVIZIO SANITARIO E DI SOCCORSO</t>
  </si>
  <si>
    <t>5^ Sezione - Motorizzazione</t>
  </si>
  <si>
    <t>Carro Soccorso</t>
  </si>
  <si>
    <t>U.T.L.P.  5^ Carro</t>
  </si>
  <si>
    <t>CONFISCA Semp.</t>
  </si>
  <si>
    <t>6^ Sezione - V.E.C.A.</t>
  </si>
  <si>
    <t>Master 2.3</t>
  </si>
  <si>
    <t>U.T.L.P.  6^ VECA</t>
  </si>
  <si>
    <t>24 - ATTIVITA' ADDESTRATIVE</t>
  </si>
  <si>
    <t>SCUOLA GUIDA</t>
  </si>
  <si>
    <t>Honda</t>
  </si>
  <si>
    <t>NX 650 Dominator</t>
  </si>
  <si>
    <t>U.T.L.P.  SC. GUIDA</t>
  </si>
  <si>
    <t xml:space="preserve">Guzzi </t>
  </si>
  <si>
    <t>Norge 1.2</t>
  </si>
  <si>
    <t>07 - SERVIZIO CONTROLLO DEL TERRITORIO</t>
  </si>
  <si>
    <t>Seat</t>
  </si>
  <si>
    <t>Leon 2.0 tdi</t>
  </si>
  <si>
    <t>72 - TRASPORTO PERSONE</t>
  </si>
  <si>
    <t>AUTOMEZZI PER TRASPORTO PERSONALE</t>
  </si>
  <si>
    <t>Master VP 2.3</t>
  </si>
  <si>
    <t>U.T.L.P.  TRASP. PERS.</t>
  </si>
  <si>
    <t>Iveco</t>
  </si>
  <si>
    <t>A100 E 21</t>
  </si>
  <si>
    <t>68 - SERVIZI DI COMPETENZA</t>
  </si>
  <si>
    <t>Nuovo Ducato 2.3</t>
  </si>
  <si>
    <t>Ducato Olmedo 2.2 Mjet</t>
  </si>
  <si>
    <t>02 - SERVIZI DI RAPPRESENTANZA</t>
  </si>
  <si>
    <t>DIVISIONE GABINETTO</t>
  </si>
  <si>
    <t>4 sez. - PREFETTURA</t>
  </si>
  <si>
    <t xml:space="preserve">PREFETTURA  </t>
  </si>
  <si>
    <t>159 1.9 jts</t>
  </si>
  <si>
    <t>New Laguna 2.0</t>
  </si>
  <si>
    <t>Audi</t>
  </si>
  <si>
    <t>A3 Sedan 35 TFSI</t>
  </si>
  <si>
    <t>05 - SERVIZIO ELETTORALE</t>
  </si>
  <si>
    <t>4 sez. - PREFETTURA - UFFICIO ELETTORALE</t>
  </si>
  <si>
    <t>PREFETT. UFF. ELETT.</t>
  </si>
  <si>
    <t>RAPPRESENTANZA QUESTURA - A disposizione Signor Questore</t>
  </si>
  <si>
    <t>Q2</t>
  </si>
  <si>
    <t>RAPPRES. Q. Sig.Q.</t>
  </si>
  <si>
    <t xml:space="preserve">GABINETTO  </t>
  </si>
  <si>
    <t>71 - ATTIVITA' ORDINARIE</t>
  </si>
  <si>
    <t>A disposizione Signor Capo di Gabinetto</t>
  </si>
  <si>
    <t>GABINETTO Capo G.</t>
  </si>
  <si>
    <t>A disposizione Signor Vicario</t>
  </si>
  <si>
    <t xml:space="preserve">GABINETTO Sig.Vic. </t>
  </si>
  <si>
    <t>78 - SERVIZIO DI TUTELA E PROTEZIONE</t>
  </si>
  <si>
    <t>SEZIONE 2^ - SICUREZZA PERSONALE</t>
  </si>
  <si>
    <t>Volkswagen</t>
  </si>
  <si>
    <t>Passat Spec.</t>
  </si>
  <si>
    <t>GABINETTO 2^ Scorte</t>
  </si>
  <si>
    <t>Stelvio Spec.</t>
  </si>
  <si>
    <t>Giulia Spec.</t>
  </si>
  <si>
    <t>SEZIONE 2^ - NUCLEO PENTITI</t>
  </si>
  <si>
    <t>Lancia</t>
  </si>
  <si>
    <t>Voyager 2.8</t>
  </si>
  <si>
    <t>GABINETTO 2^ Nucl.Pent.</t>
  </si>
  <si>
    <t>A6 Avant</t>
  </si>
  <si>
    <t>SEZIONE 2^ - SERVIZI</t>
  </si>
  <si>
    <t>Grande Punto 1.2</t>
  </si>
  <si>
    <t>Panda 1.3 mjet</t>
  </si>
  <si>
    <t>Clio 1.5 dci</t>
  </si>
  <si>
    <t>C3 1.1 Puretech</t>
  </si>
  <si>
    <t>1^ Sezione</t>
  </si>
  <si>
    <t>Ypsilon</t>
  </si>
  <si>
    <t>Sq. MOBILE 1^</t>
  </si>
  <si>
    <t>Golf 2.0 tdi</t>
  </si>
  <si>
    <t>Panda 1.2</t>
  </si>
  <si>
    <t>Vespa</t>
  </si>
  <si>
    <t>Smart</t>
  </si>
  <si>
    <t>For Two</t>
  </si>
  <si>
    <t>Kangoo 1.5</t>
  </si>
  <si>
    <t>2^ Sezione</t>
  </si>
  <si>
    <t>Sq. MOBILE 2^</t>
  </si>
  <si>
    <t>A3 Sport Back tdi</t>
  </si>
  <si>
    <t>Opel</t>
  </si>
  <si>
    <t>Astra 2.2 DTI</t>
  </si>
  <si>
    <t>T-MAX</t>
  </si>
  <si>
    <t>320 D Touring</t>
  </si>
  <si>
    <t>Sq. MOBILE 3^</t>
  </si>
  <si>
    <t>4^ Sezione</t>
  </si>
  <si>
    <t>Sq. MOBILE 4^</t>
  </si>
  <si>
    <t>Aprilia</t>
  </si>
  <si>
    <t>SRV 850</t>
  </si>
  <si>
    <t>A5 Coupè TD</t>
  </si>
  <si>
    <t>5^ Sezione</t>
  </si>
  <si>
    <t>Camper</t>
  </si>
  <si>
    <t>Sq. MOBILE 5^</t>
  </si>
  <si>
    <t>500 Abarth</t>
  </si>
  <si>
    <t>Ford</t>
  </si>
  <si>
    <t>Focus 1.6 tdci</t>
  </si>
  <si>
    <t>500 X</t>
  </si>
  <si>
    <t>For Four</t>
  </si>
  <si>
    <t>Mito 1.4</t>
  </si>
  <si>
    <t>Panda 1.3</t>
  </si>
  <si>
    <t>Triumph</t>
  </si>
  <si>
    <t>Bonneville</t>
  </si>
  <si>
    <t>500 1.2</t>
  </si>
  <si>
    <t>6^ Sezione</t>
  </si>
  <si>
    <t>Sq. MOBILE 6^</t>
  </si>
  <si>
    <t>Mondeo 2.0 tdi</t>
  </si>
  <si>
    <t>Passat 2.0</t>
  </si>
  <si>
    <t>Touran</t>
  </si>
  <si>
    <t>Golf tdi</t>
  </si>
  <si>
    <t>Jetta</t>
  </si>
  <si>
    <t>Q5 SEQUESTRO</t>
  </si>
  <si>
    <t>GLA 220</t>
  </si>
  <si>
    <t>Classe A</t>
  </si>
  <si>
    <t>Q3</t>
  </si>
  <si>
    <t>Jumpy 2.0 D</t>
  </si>
  <si>
    <t>C600 Sport</t>
  </si>
  <si>
    <t>GABINETTO INTERREGIONALE POLIZIA SCIENTIFICA</t>
  </si>
  <si>
    <t xml:space="preserve">SCIENTIFICA  </t>
  </si>
  <si>
    <t>16 - SERVIZIO STRADALE AUTOSTRADE</t>
  </si>
  <si>
    <t>Forester 4x4 2.0</t>
  </si>
  <si>
    <t>Nissan</t>
  </si>
  <si>
    <t>Navara 2.3 DC</t>
  </si>
  <si>
    <t>Carnaby 300</t>
  </si>
  <si>
    <t>Panda My 1.2 4x4</t>
  </si>
  <si>
    <t>Panda 1.3 Mjet 4x4</t>
  </si>
  <si>
    <t>73 - SERVIZI DEDICATI/ SPECIFICI</t>
  </si>
  <si>
    <t>Fullback 2.4</t>
  </si>
  <si>
    <t>DIREZIONE INVESTIGATIVA ANTIMAFIA</t>
  </si>
  <si>
    <t>D. I. A.</t>
  </si>
  <si>
    <t>53 - VIOLAZIONE C.S. GIUDIZIALE CUSTODIA</t>
  </si>
  <si>
    <t>C3 HDI</t>
  </si>
  <si>
    <t>Kia</t>
  </si>
  <si>
    <t>Sportage 1.6</t>
  </si>
  <si>
    <t>52 - D.I.A. CAPITOLO 2790</t>
  </si>
  <si>
    <t>Rover</t>
  </si>
  <si>
    <t>25 1.4 Club</t>
  </si>
  <si>
    <t>Bravo 1.4</t>
  </si>
  <si>
    <t>Bravo 1.6 Mjet</t>
  </si>
  <si>
    <t>147 1.9 jtd</t>
  </si>
  <si>
    <t>NUCLEO OPERATIVO DI PROTEZIONE</t>
  </si>
  <si>
    <t>NUCLEO OP. PR.</t>
  </si>
  <si>
    <t>Doblò Combi 1.5</t>
  </si>
  <si>
    <t>DIVISIONE POLIZIA ANTICRIMINE</t>
  </si>
  <si>
    <t xml:space="preserve">ANTICRIMINE  </t>
  </si>
  <si>
    <t>Tiguan</t>
  </si>
  <si>
    <t>Panda</t>
  </si>
  <si>
    <t>DIVISIONE POLIZIA AMMINISTRATIVA E SOCIALE</t>
  </si>
  <si>
    <t>CEE-D 1.6 EX</t>
  </si>
  <si>
    <t>UFFICIO IMMIGRAZIONE</t>
  </si>
  <si>
    <t>Master Combi</t>
  </si>
  <si>
    <t xml:space="preserve">IMMIGRAZIONE  </t>
  </si>
  <si>
    <t>Delta 1.6 Mjet</t>
  </si>
  <si>
    <t>Sitcar</t>
  </si>
  <si>
    <t>Italo 100 CX</t>
  </si>
  <si>
    <t>COMPARTIMENTO POLIZIA POSTALE E DELLE COMUNICAZIONI</t>
  </si>
  <si>
    <t xml:space="preserve">POSTALE  </t>
  </si>
  <si>
    <t>1^ ZONA POLIZIA FRONTIERA</t>
  </si>
  <si>
    <t xml:space="preserve">FRONTIERA  </t>
  </si>
  <si>
    <t>Transit 2.0 TDCI</t>
  </si>
  <si>
    <t>XV 2.0 Hybrid</t>
  </si>
  <si>
    <t>BARANZELLI</t>
  </si>
  <si>
    <t>Officina</t>
  </si>
  <si>
    <t>COLLAUDO IN ENTRATA</t>
  </si>
  <si>
    <t>BONELLO</t>
  </si>
  <si>
    <t>UFFICIO SANITARIO QUESTURA</t>
  </si>
  <si>
    <t>Mazda</t>
  </si>
  <si>
    <t>2 1.3 16v</t>
  </si>
  <si>
    <t xml:space="preserve">SANITARIO  </t>
  </si>
  <si>
    <t>Ducato Ambulanza 2.8 jtd 4x4</t>
  </si>
  <si>
    <t>???</t>
  </si>
  <si>
    <t>UFFICIO DEL PERSONALE</t>
  </si>
  <si>
    <t xml:space="preserve">Uff. PERSONALE </t>
  </si>
  <si>
    <t>DIREZIONE CENTRALE ANTICRIMINE S.I.S.C.O.</t>
  </si>
  <si>
    <t xml:space="preserve">S.I.S.C.O.  </t>
  </si>
  <si>
    <t>Corsa 1.2</t>
  </si>
  <si>
    <t>UFFICIO AMMINISTRATIVO CONTABILE</t>
  </si>
  <si>
    <t>Mercedes</t>
  </si>
  <si>
    <t>Classe A cdi</t>
  </si>
  <si>
    <t>SEZIONE POLIZIA GIUDIZIARIA C/O TRIBUNALE</t>
  </si>
  <si>
    <t>Compass 2.0 c.r.d.</t>
  </si>
  <si>
    <t xml:space="preserve">P.G. TRIBUN. </t>
  </si>
  <si>
    <t>C3 1.4</t>
  </si>
  <si>
    <t>500 L 1.6</t>
  </si>
  <si>
    <t>Daihatsu</t>
  </si>
  <si>
    <t>Terios</t>
  </si>
  <si>
    <t>Ypsilon 1.2</t>
  </si>
  <si>
    <t>Toyota</t>
  </si>
  <si>
    <t>Yaris 1.5 Hybrid</t>
  </si>
  <si>
    <t>CHR 1.8</t>
  </si>
  <si>
    <t>Punto 1.2 ELX</t>
  </si>
  <si>
    <t>156 1.8 TS</t>
  </si>
  <si>
    <t>SEZIONE POLIZIA GIUDIZIARIA C/O TRIBUNALE MINORI</t>
  </si>
  <si>
    <t>P.G. TRIBUN. Minori</t>
  </si>
  <si>
    <t>SEZIONE POLIZIA GIUDIZIARIA C/O TRIBUNALE IVREA</t>
  </si>
  <si>
    <t>P.G. TRIBUN. Ivrea</t>
  </si>
  <si>
    <t>ZONA TELECOMUNICAZIONI</t>
  </si>
  <si>
    <t>Dacia</t>
  </si>
  <si>
    <t>Dokker Van 1.5</t>
  </si>
  <si>
    <t>T. L. C.</t>
  </si>
  <si>
    <t>Ducato 2.2 Mjet</t>
  </si>
  <si>
    <t>Sedici Dynamic 4x4</t>
  </si>
  <si>
    <t>Laguna 2.0</t>
  </si>
  <si>
    <t>Kangoo 1.5 dci</t>
  </si>
  <si>
    <t>Cabstar 35.10</t>
  </si>
  <si>
    <t>37 - TRASPORTO MATERIALE</t>
  </si>
  <si>
    <t>COMMISSARIATO P.S. RIVOLI</t>
  </si>
  <si>
    <t xml:space="preserve">C. RIVOLI </t>
  </si>
  <si>
    <t>Leon 2.0 T.D.I.</t>
  </si>
  <si>
    <t>COMMISSARIATO P.S. IVREA E BANCHETTE</t>
  </si>
  <si>
    <t xml:space="preserve">C. IVREA </t>
  </si>
  <si>
    <t>Tonale 1.5</t>
  </si>
  <si>
    <t>UFFICIO POLIZIA FRONTIERA C/O LO SCALO AEREO CASELLE</t>
  </si>
  <si>
    <t xml:space="preserve">CASELLE  </t>
  </si>
  <si>
    <t>Stilo 1.9 jtd</t>
  </si>
  <si>
    <t>64 - CINOFILI</t>
  </si>
  <si>
    <t>Rimorchio</t>
  </si>
  <si>
    <t>WT-METAL</t>
  </si>
  <si>
    <t>Bravo 1.6</t>
  </si>
  <si>
    <t>08 - SERVIZIO PERLUSTRAZIONE RICOGNIZIONE</t>
  </si>
  <si>
    <t>Forester 2.0</t>
  </si>
  <si>
    <t>41 - ARTIFICIERI</t>
  </si>
  <si>
    <t>Caselle - Reparto Artificieri</t>
  </si>
  <si>
    <t>Ducato 2.5 DS</t>
  </si>
  <si>
    <t xml:space="preserve">CASELLE Artificieri </t>
  </si>
  <si>
    <t>Caselle - Reparto Cinofili</t>
  </si>
  <si>
    <t>Doblò Cargo</t>
  </si>
  <si>
    <t xml:space="preserve">CASELLE Cinofili </t>
  </si>
  <si>
    <t>54 - COLLAUDATO DA ASSEGNARE</t>
  </si>
  <si>
    <t>Transporter</t>
  </si>
  <si>
    <t>SETTORE POLIZIA FRONTIERA C/O BARDONECCHIA</t>
  </si>
  <si>
    <t>Ducato 2.3 Mjet</t>
  </si>
  <si>
    <t xml:space="preserve">FRONT. Bardon. </t>
  </si>
  <si>
    <t>Panda 1.2 4x4</t>
  </si>
  <si>
    <t>COMMISSARIATO P.S. BARDONECCHIA</t>
  </si>
  <si>
    <t xml:space="preserve">C. BARDONECCHIA </t>
  </si>
  <si>
    <t>Mitsubishi</t>
  </si>
  <si>
    <t>Pajero</t>
  </si>
  <si>
    <t>Motoslitta</t>
  </si>
  <si>
    <t>Adventure</t>
  </si>
  <si>
    <t>UFFICIO PREVENZIONE GENERALE</t>
  </si>
  <si>
    <t>REPARTO ARTIFICIERI</t>
  </si>
  <si>
    <t>Ducato</t>
  </si>
  <si>
    <t xml:space="preserve">ARTIFICIERI UPG </t>
  </si>
  <si>
    <t>09 - SERVIZIO ORDINE PUBBLICO</t>
  </si>
  <si>
    <t>Land</t>
  </si>
  <si>
    <t>Rover Discovery</t>
  </si>
  <si>
    <t>Isuzu</t>
  </si>
  <si>
    <t>Pick-Up 2.5 D</t>
  </si>
  <si>
    <t>Crafter</t>
  </si>
  <si>
    <t>COMPARTIMENTO POLIZIA FERROVIARIA</t>
  </si>
  <si>
    <t xml:space="preserve">FERROVIARIA  </t>
  </si>
  <si>
    <t>C3 Bleu HDI</t>
  </si>
  <si>
    <t>Sedici 2.0 4x4</t>
  </si>
  <si>
    <t>Panda T.A. 4x4</t>
  </si>
  <si>
    <t>Panda 0.9 4x4</t>
  </si>
  <si>
    <t>COMMISSARIATO P.S. CENTRO</t>
  </si>
  <si>
    <t xml:space="preserve">C. CENTRO </t>
  </si>
  <si>
    <t>COMMISSARIATO P.S. DORA VANCHIGLIA</t>
  </si>
  <si>
    <t>C. DORA VANCH.</t>
  </si>
  <si>
    <t>A4</t>
  </si>
  <si>
    <t>Rio 1.2</t>
  </si>
  <si>
    <t>30 - RISERVA MINISTERIALE</t>
  </si>
  <si>
    <t>X-MAX</t>
  </si>
  <si>
    <t>COMMISSARIATO P.S. MADONNA CAMPAGNA</t>
  </si>
  <si>
    <t>C. M. CAMPAGNA</t>
  </si>
  <si>
    <t>COMMISSARIATO P.S. BARRIERA NIZZA</t>
  </si>
  <si>
    <t>C. B. NIZZA</t>
  </si>
  <si>
    <t>COMMISSARIATO P.S. SAN DONATO</t>
  </si>
  <si>
    <t>C. S.DONATO</t>
  </si>
  <si>
    <t>COMMISSARIATO P.S. BARRIERA MILANO</t>
  </si>
  <si>
    <t>C. B. MILANO</t>
  </si>
  <si>
    <t>Classe A 250</t>
  </si>
  <si>
    <t>COMMISSARIATO P.S. SAN PAOLO</t>
  </si>
  <si>
    <t>C. S.PAOLO</t>
  </si>
  <si>
    <t>COMMISSARIATO P.S. SAN SECONDO</t>
  </si>
  <si>
    <t>C. S.SECONDO</t>
  </si>
  <si>
    <t>COMMISSARIATO P.S. MIRAFIORI</t>
  </si>
  <si>
    <t xml:space="preserve">C. MIRAFIORI </t>
  </si>
  <si>
    <t>32 - ATTESA ASSEGNAZIONE O ESAME E PROPOSTE</t>
  </si>
  <si>
    <t>Carrello</t>
  </si>
  <si>
    <t>Appendice</t>
  </si>
  <si>
    <t>REPARTO A CAVALLO</t>
  </si>
  <si>
    <t>Rep. CAVALLO UPG</t>
  </si>
  <si>
    <t>66 - REPARTI A CAVALLO</t>
  </si>
  <si>
    <t>65/C/60/E4</t>
  </si>
  <si>
    <t>60/C/18 Daily</t>
  </si>
  <si>
    <t>COMMISSARIATO P.S. BORGO PO</t>
  </si>
  <si>
    <t>C. BORGO PO</t>
  </si>
  <si>
    <t>REPARTO PREVENZIONE CRIMINE</t>
  </si>
  <si>
    <t>R. P. C.</t>
  </si>
  <si>
    <t>15 - SERVIZIO POLIZIA STRADALE ORDINARIA</t>
  </si>
  <si>
    <t>SQUADRA INTERVENTO OPERATIVO</t>
  </si>
  <si>
    <t>Rover Discovery 4</t>
  </si>
  <si>
    <t xml:space="preserve">U.O.P.I.  </t>
  </si>
  <si>
    <t>PROP. FUORI USO</t>
  </si>
  <si>
    <t>159 2.4 jtdm</t>
  </si>
  <si>
    <t>U.P.G. - REPARTO TIRATORI SCELTI</t>
  </si>
  <si>
    <t>REPARTO TIRATORI SCELTI</t>
  </si>
  <si>
    <t>AUTOVETTURE DI RISERVA</t>
  </si>
  <si>
    <t>QUESTURA DI NOVARA</t>
  </si>
  <si>
    <t>Squadra Mobile</t>
  </si>
  <si>
    <t>Moto</t>
  </si>
  <si>
    <t>Honda Transalp</t>
  </si>
  <si>
    <t xml:space="preserve">CESSIONE TEMP. </t>
  </si>
  <si>
    <t>Zona Telecomunicazioni</t>
  </si>
  <si>
    <t>Ducato 2.8 JTD</t>
  </si>
  <si>
    <t>31 - RISERVA RIPARAZIONI</t>
  </si>
  <si>
    <t>Ufficio di Gabinetto - Cappellano della Polizia di Stato</t>
  </si>
  <si>
    <t>Stilo 1.6</t>
  </si>
  <si>
    <t>U.P.G. - Reparto Cinofili</t>
  </si>
  <si>
    <t>U.P.G. - Pegaso</t>
  </si>
  <si>
    <t>Aprilia Pegaso 650</t>
  </si>
  <si>
    <t>SOCIETA’ F.I.A.T.</t>
  </si>
  <si>
    <t>Tonale</t>
  </si>
  <si>
    <t>F.I.A.T. - GAB 2^ Sic.P.</t>
  </si>
  <si>
    <t>Stelvio</t>
  </si>
  <si>
    <t>Giulia</t>
  </si>
  <si>
    <t xml:space="preserve">RISERVA    </t>
  </si>
  <si>
    <t>Golf 1.4</t>
  </si>
  <si>
    <t>35/S 11 Van</t>
  </si>
  <si>
    <t>55 - IMMIGRAZIONE GIUDIZIALE CUSTODIA</t>
  </si>
  <si>
    <t>Caddy</t>
  </si>
  <si>
    <t>Kawasaki</t>
  </si>
  <si>
    <t>ZR 750 L</t>
  </si>
  <si>
    <t>Harley</t>
  </si>
  <si>
    <t>Davidson 883</t>
  </si>
  <si>
    <t>Ducato Camper</t>
  </si>
  <si>
    <t>Exeo 2.0 tdi</t>
  </si>
  <si>
    <t>Jumper 2.2 HDI</t>
  </si>
  <si>
    <t>Y 1.2</t>
  </si>
  <si>
    <t>MEZZO DA ASSEGNARE</t>
  </si>
  <si>
    <t xml:space="preserve">DA ASSEGNARE   </t>
  </si>
  <si>
    <t xml:space="preserve"> REPARTO CINOFILI</t>
  </si>
  <si>
    <t>Rep. CINOFILI UPG</t>
  </si>
  <si>
    <t>REPARTO CINOFILI</t>
  </si>
  <si>
    <t>Scudo 2.0 Mjet</t>
  </si>
  <si>
    <t>67 - TIRATORI SCELTI</t>
  </si>
  <si>
    <t>Rep. TIRATORI UPG</t>
  </si>
  <si>
    <t>PEGASO</t>
  </si>
  <si>
    <t>F700 GS</t>
  </si>
  <si>
    <t xml:space="preserve">PEGASO UPG </t>
  </si>
  <si>
    <t>Tracer 900</t>
  </si>
  <si>
    <t>VOLANTI</t>
  </si>
  <si>
    <t xml:space="preserve">VOLANTI UPG </t>
  </si>
  <si>
    <t>N.B.: IN CASO DI AGGIUNTA, MODIFICA O ELIMINAZIONE DI UNA VOCE, FARLO ALL'INTERNO DELL'ELENCO CONTORNATO PER MATENERE LA FUNZIONALITÀ</t>
  </si>
  <si>
    <t>DA SOSTITUIRE LA VOCE "Noleggio …"</t>
  </si>
  <si>
    <t>DA AGGIUNGERE MANCANTI (IN ARANC.) E DA SEMPLIFICARE NOMI (IN BLU )</t>
  </si>
  <si>
    <t>Diciture Gest. Tecnica (no elenco a discesa x consentire altre voci)</t>
  </si>
  <si>
    <t>Diciture brevi (largh. Cella 30)</t>
  </si>
  <si>
    <t>PROPRIETÀ</t>
  </si>
  <si>
    <t>ENTE ASSEGNATARIO</t>
  </si>
  <si>
    <t>CODICE IMPIEGO</t>
  </si>
  <si>
    <t>01 - RAPPRESENTANZA MINISTERO</t>
  </si>
  <si>
    <t>AR OFFICINAE S.R.L.</t>
  </si>
  <si>
    <t>Meccanica</t>
  </si>
  <si>
    <t>ATTESA COLLAUDO IN ENTRATA</t>
  </si>
  <si>
    <t>Noleggio …</t>
  </si>
  <si>
    <t>ARAT 2000 SRL</t>
  </si>
  <si>
    <t>Carrozeria</t>
  </si>
  <si>
    <t>AUTOVEICOLI IN ATTESA DESTINAZIONE</t>
  </si>
  <si>
    <t>DA DESTINARE</t>
  </si>
  <si>
    <t>Noleggio ARVAL</t>
  </si>
  <si>
    <t>03 - RAPPRESENTANZA QUESTURA</t>
  </si>
  <si>
    <t>Pneumatici</t>
  </si>
  <si>
    <t>AUTOVEICOLI IN ATTESA DI DESTINAZIONE / DETERMINAZIONE</t>
  </si>
  <si>
    <t>DA DETERMINARE</t>
  </si>
  <si>
    <t>Noleggio ALD</t>
  </si>
  <si>
    <t>04 - RAPPRESENTANZA COMANDI MILITARI</t>
  </si>
  <si>
    <t>Cristalli</t>
  </si>
  <si>
    <t>ATTESA COLLAUDO IN USCITA</t>
  </si>
  <si>
    <t>COLLAUDO IN USCITA</t>
  </si>
  <si>
    <t>Noleggio LEASYS</t>
  </si>
  <si>
    <t>COMPILAZIONE MODELLO 112 PER RICOVERO IN AUTOCENTRO</t>
  </si>
  <si>
    <t>COMPILAZIONE MODELLO 112</t>
  </si>
  <si>
    <t>AUTOCARSO</t>
  </si>
  <si>
    <t>AUTO ESAME TECNICO AUTOCENTRO</t>
  </si>
  <si>
    <t>ESAME TECNICO AUTOCENTRO</t>
  </si>
  <si>
    <t>AUTOSTRADE</t>
  </si>
  <si>
    <t>ATTESA RICOVERO C/O AUTOCENTRO</t>
  </si>
  <si>
    <t>DA RICOVERARE C/O AUTOCENT.</t>
  </si>
  <si>
    <t>DONAZIONE</t>
  </si>
  <si>
    <t>IN USCITA DA AUTOCENTRO</t>
  </si>
  <si>
    <t>BOCCARDO DI BOCCARDO MARZIO</t>
  </si>
  <si>
    <t>RIPARAZIONE VIA TIRRENO</t>
  </si>
  <si>
    <t>AUTO CIRCOLANTI CON LAVORAZIONI IN SOSPESO</t>
  </si>
  <si>
    <t>RICOVERO CIRCOLANTE</t>
  </si>
  <si>
    <t>11 - SERVIZIO P.A.C. SQUADRIGLIA</t>
  </si>
  <si>
    <t>CALCAGNO SNC</t>
  </si>
  <si>
    <t>ATTESA RELAZIONE O PREVENTIVI</t>
  </si>
  <si>
    <t>ATTESA RELAZIONE</t>
  </si>
  <si>
    <t>GIUDIZIALE Cust.</t>
  </si>
  <si>
    <t>12 - SERVIZIO ANTI ABIGEATO</t>
  </si>
  <si>
    <t>ATTESA RICOVERO PRESSO TLC</t>
  </si>
  <si>
    <t>ATTESA PREVENTIVO</t>
  </si>
  <si>
    <t>Carrozzeria</t>
  </si>
  <si>
    <t>RICOVERATE PRESSO TLC</t>
  </si>
  <si>
    <t>DA RICOVERARE PRESSO TLC</t>
  </si>
  <si>
    <t>14 - SERVIZIO CONTROLLI E ISPEZIONI</t>
  </si>
  <si>
    <t>IN ENTRATA AUTOCENTRO</t>
  </si>
  <si>
    <t>RICOVERO PRESSO TLC</t>
  </si>
  <si>
    <t>CLAS SRL</t>
  </si>
  <si>
    <t>Elettrauto</t>
  </si>
  <si>
    <t>AUTOVETTURE  RICOVERATE C/O ALTRI ENTI O DI ALTRI ENTI</t>
  </si>
  <si>
    <t>Gommista</t>
  </si>
  <si>
    <t>AUTOVETTURE  SOTTOPOSTE A SEQUESTRO A.G.</t>
  </si>
  <si>
    <t>RICOVERO PER CONTO ALTRI ENTI</t>
  </si>
  <si>
    <t>17 - TRASPORTO PERSONE E MATERIALE LEGGERO</t>
  </si>
  <si>
    <t>CONTINENTAL S.R.L.</t>
  </si>
  <si>
    <t>Sost. Cristalli</t>
  </si>
  <si>
    <t>RICOVERO C/O ALTRI ENTI</t>
  </si>
  <si>
    <t>18 - TRASPORTO PERSONE E MATERIALE PESANTE</t>
  </si>
  <si>
    <t>Soccorso Stradale</t>
  </si>
  <si>
    <t>SOTTOPOSTO A SEQUESTRO A.G.</t>
  </si>
  <si>
    <t>19 - TRASPORTO ANIMALI</t>
  </si>
  <si>
    <t>DAVID LORENZO SRL</t>
  </si>
  <si>
    <t>Revisioni</t>
  </si>
  <si>
    <t>20 - SERVIZIO VETTOVAGLIAMENTO E SPACCIO</t>
  </si>
  <si>
    <t>DECATHLON ITALIA SRL</t>
  </si>
  <si>
    <t>Lavaggi</t>
  </si>
  <si>
    <t>21 - SERVIZIO V.E.C.A. E MAGAZZINI VARI</t>
  </si>
  <si>
    <t>ECOGROUP SERVIZI S.R.L.</t>
  </si>
  <si>
    <t>Rapido Consumo</t>
  </si>
  <si>
    <t>22 - SERVIZI TECNICI R.T.</t>
  </si>
  <si>
    <t>ELETTRAUTO ALESSANDRINI PAOLO</t>
  </si>
  <si>
    <t>Servizi Manutenzione</t>
  </si>
  <si>
    <t>23 - SERVIZI SOCCORSO STRADALE</t>
  </si>
  <si>
    <t>EREDI CAMPIDONICO S.P.A.</t>
  </si>
  <si>
    <t>ERRE ELLE NET SRL</t>
  </si>
  <si>
    <t>25 - SERVIZIO SOCIALE ASSISTENZA MEDICA</t>
  </si>
  <si>
    <t>FREJUS 83 SAS</t>
  </si>
  <si>
    <t>26 - SERVIZIO ASSISTENZA SPIRITUALE</t>
  </si>
  <si>
    <t>G.R. SRL</t>
  </si>
  <si>
    <t>27 - SERVIZIO RIMESSA</t>
  </si>
  <si>
    <t>GARA S.A.S. DI ANTONIOLI LUCA GIOVANNI &amp; C.</t>
  </si>
  <si>
    <t>28 - RISERVA MINISTERIALE LUNGO TERMINE</t>
  </si>
  <si>
    <t>IVECO ORECCHIA S.P.A.</t>
  </si>
  <si>
    <t>29 - RISERVA MINISTERIALE MEDIO TERMINE</t>
  </si>
  <si>
    <t>LEASYS S.P.A.</t>
  </si>
  <si>
    <t xml:space="preserve">MARCO GOMME </t>
  </si>
  <si>
    <t>MC TEAM S.R.L.</t>
  </si>
  <si>
    <t>GABINETTO 2^ N.O.P.</t>
  </si>
  <si>
    <t>33 - ACCANTONAMENTO PER TUORI USO</t>
  </si>
  <si>
    <t>34 - ATTESA ELIMINAZIONE PER LOTTIZZAZIONE</t>
  </si>
  <si>
    <t>MONDO S.N.C.</t>
  </si>
  <si>
    <t>35 - SERVIZIO POLIZIA POSTALE</t>
  </si>
  <si>
    <t>NEW GLASS S.R.L.</t>
  </si>
  <si>
    <t>36 - SERVIZIO ATTIVITA' SPORTIVA</t>
  </si>
  <si>
    <t>38 - SERVIZIO SALVATAGGIO A MARE</t>
  </si>
  <si>
    <t>39 - SERVIZIO ANTI BORSEGGIO</t>
  </si>
  <si>
    <t xml:space="preserve">OLIVETO J </t>
  </si>
  <si>
    <t>40 - SERVIZIO POLIZIA FEMMINILE</t>
  </si>
  <si>
    <t>PETRONAS LUBRICANTS ITALY SPA</t>
  </si>
  <si>
    <t>POLIZIANO</t>
  </si>
  <si>
    <t>42 - TRASPORTO CARBURANTE</t>
  </si>
  <si>
    <t>PMS SERVIZI SNC</t>
  </si>
  <si>
    <t>43 - RAPPRESENTANZA ALTRE AMMINISTRAZIONI</t>
  </si>
  <si>
    <t>RISSO S.N.C.</t>
  </si>
  <si>
    <t>44 - ATTESA ELABORAZIONE</t>
  </si>
  <si>
    <t>45 - ANTIDROGA POLIZIA DI STATO</t>
  </si>
  <si>
    <t>46 - VEICOLI A CONSUMAZIONE</t>
  </si>
  <si>
    <t>SACIMEX S.R.L.</t>
  </si>
  <si>
    <t>SANTOLI SRL</t>
  </si>
  <si>
    <t>48 - AUTOMEZZO IN LEASING</t>
  </si>
  <si>
    <t>49 - POLIZIA POSTALE</t>
  </si>
  <si>
    <t>TEAM LACROCE DI LACROCE FAUSTO</t>
  </si>
  <si>
    <t>50 - POLIZIA SCIENTIFICA</t>
  </si>
  <si>
    <t>51 - TRASPORTO AUTO</t>
  </si>
  <si>
    <t>56 - VEICOLI STORICI</t>
  </si>
  <si>
    <t>57 - CONTRABBANDO GIUDIZIALE CUSTODIA</t>
  </si>
  <si>
    <t>58 - RISERVATO</t>
  </si>
  <si>
    <t>59 - D.C.S.A.</t>
  </si>
  <si>
    <t>60 - TARGA PROVA</t>
  </si>
  <si>
    <t>61 - POSTI FISSI</t>
  </si>
  <si>
    <t>62 - REPARTO POLIZIA STRADALE ORDINARIA A.C.A.</t>
  </si>
  <si>
    <t>63 - REPARTO FIAMME ORO</t>
  </si>
  <si>
    <t>69 - SERVIZIO POLIZIA FERROVIARIA</t>
  </si>
  <si>
    <t>70 - SERVIZIO SCUOLE DI POLIZIA</t>
  </si>
  <si>
    <t>74 - CESSIONE TEMPORANEA</t>
  </si>
  <si>
    <t>75 - CESSIONE STATI ESTERI</t>
  </si>
  <si>
    <t>76 - SOCCORSO PUBBLICO</t>
  </si>
  <si>
    <t>77 - SERVIZIO NBCR</t>
  </si>
  <si>
    <t>TG CIVILE</t>
  </si>
  <si>
    <t>I N I Z I O   RICOVERO DAL</t>
  </si>
  <si>
    <t>F I N E   RICOVERO DAL</t>
  </si>
  <si>
    <t>AUTORIM. V.TIRRENO DAL</t>
  </si>
  <si>
    <t>DITTA ESTERNA DAL</t>
  </si>
  <si>
    <t>DITTA ESTERNA TIPOLOGIA</t>
  </si>
  <si>
    <t>ALTRI LUOGHI DAL</t>
  </si>
  <si>
    <t xml:space="preserve">       O. P.</t>
  </si>
  <si>
    <t>NOTE</t>
  </si>
  <si>
    <t>AUTORIM. V.TIRRENO - MOTIVAZIONE</t>
  </si>
  <si>
    <t>DITTA ESTERNA - NOME</t>
  </si>
  <si>
    <t>ALTRI LUOGHI - MOTIVAZIONE</t>
  </si>
  <si>
    <t>ALTRI LUOGHI - POSIZIONE</t>
  </si>
  <si>
    <r>
      <t>ENTE</t>
    </r>
    <r>
      <rPr>
        <sz val="11"/>
        <rFont val="Calibri"/>
        <family val="2"/>
        <scheme val="minor"/>
      </rPr>
      <t xml:space="preserve"> ASSEGNATARIO</t>
    </r>
    <r>
      <rPr>
        <sz val="11"/>
        <color theme="1"/>
        <rFont val="Calibri"/>
        <family val="2"/>
        <scheme val="minor"/>
      </rPr>
      <t/>
    </r>
  </si>
  <si>
    <t>FILTRI DINAMICI</t>
  </si>
  <si>
    <t>"e" 208</t>
  </si>
  <si>
    <t>CODICE D'IMPIEGO</t>
  </si>
  <si>
    <t>V.TIRR. - MOTIV. ABBREVIATO</t>
  </si>
  <si>
    <t>AMM. CONTAB.</t>
  </si>
  <si>
    <t>AMM. SOCIALE</t>
  </si>
  <si>
    <t>QUESTURA DEL VERBANO CUSIO OSSOLA</t>
  </si>
  <si>
    <t>U.T.L.P.  Serv. Protezione</t>
  </si>
  <si>
    <t>ATTESA RICOVERO AUTOCENTRO</t>
  </si>
  <si>
    <t>NATALE</t>
  </si>
  <si>
    <t>Uff. PERSONALE - ISTR. TIRO</t>
  </si>
  <si>
    <t>GLOBAL CAR</t>
  </si>
  <si>
    <t>AUTOFILADELFIA</t>
  </si>
  <si>
    <t>MAESTRI</t>
  </si>
  <si>
    <t>AUTOINGROS CER</t>
  </si>
  <si>
    <t>CIVINO</t>
  </si>
  <si>
    <t>SCUPELLI</t>
  </si>
  <si>
    <t>NARCISI</t>
  </si>
  <si>
    <t>PROGETTO</t>
  </si>
  <si>
    <t>STELLANTIS</t>
  </si>
  <si>
    <t>MONTECARLO</t>
  </si>
  <si>
    <t>LE MANS 23</t>
  </si>
  <si>
    <t>BERRUTI</t>
  </si>
  <si>
    <t>S.F.S. TRIESTE</t>
  </si>
  <si>
    <t>AUTODIAGNOSI</t>
  </si>
  <si>
    <t>NISSAUTO</t>
  </si>
  <si>
    <t>BONALDO</t>
  </si>
  <si>
    <t>ARGIRO'</t>
  </si>
  <si>
    <t>VERDUCI</t>
  </si>
  <si>
    <t>SPLENDOR</t>
  </si>
  <si>
    <t>LUDOCAR</t>
  </si>
  <si>
    <t>CORAGGIO</t>
  </si>
  <si>
    <t>FRANCO &amp; C.</t>
  </si>
  <si>
    <t>OMEA</t>
  </si>
  <si>
    <t>ROMEO</t>
  </si>
  <si>
    <t>ROSELLI</t>
  </si>
  <si>
    <t>COMOGLIO</t>
  </si>
  <si>
    <t>MECAR</t>
  </si>
  <si>
    <t>BONELLO AUTO</t>
  </si>
  <si>
    <t>AUTALA</t>
  </si>
  <si>
    <t>POSTO POLIZIA FERROVIARIA SANTHIA (VC)</t>
  </si>
  <si>
    <t>COMPARTIMENTO POLIZIA FERROVIARIA NOVARA (NO)</t>
  </si>
  <si>
    <t>POSTO POLIZIA FERROVIARIA BUSSOLENO (TO)</t>
  </si>
  <si>
    <t>POSTO POLIZIA FERROVIARIA DOMODOSSOLA (VB)</t>
  </si>
  <si>
    <t>POSTO POLIZIA FERROVIARIA NOVI LIGURE (AL)</t>
  </si>
  <si>
    <t>POSTO POLIZIA FERROVIARIA VERCELLI (VC)</t>
  </si>
  <si>
    <t>SEZIONE POLIZIA POSTALE E COMUNICAZIONI CUNEO (CN)</t>
  </si>
  <si>
    <t>SEZIONE POLIZIA POSTALE E COMUNICAZIONI AOSTA (AO)</t>
  </si>
  <si>
    <t>FUORI USO</t>
  </si>
  <si>
    <t>A6 Specializzata</t>
  </si>
  <si>
    <t>S.F.S. SESTRIERE (TO)</t>
  </si>
  <si>
    <t>CESAG ROSTA</t>
  </si>
  <si>
    <t>REPETTI</t>
  </si>
  <si>
    <t>GABINETTO 4^ UPGAIP</t>
  </si>
  <si>
    <t>Noleggio SIFA'</t>
  </si>
  <si>
    <t>SCADENZA NOLEGGIO</t>
  </si>
  <si>
    <t>DIONISI</t>
  </si>
  <si>
    <t>TORINO MOTO</t>
  </si>
  <si>
    <t>ALESSANDRINI</t>
  </si>
  <si>
    <t>EUROCAR</t>
  </si>
  <si>
    <t>AUTOINGROS BORGARO</t>
  </si>
  <si>
    <t>F LINE SRL</t>
  </si>
  <si>
    <t>BUSSOLINO</t>
  </si>
  <si>
    <t>GLOBAL CAR SERVICE</t>
  </si>
  <si>
    <t>QUESTURA DI COSENZA</t>
  </si>
  <si>
    <t>QUESTURA DI CUNEO</t>
  </si>
  <si>
    <t xml:space="preserve">S.F.S. SESTRIERE </t>
  </si>
  <si>
    <t>Hyundai</t>
  </si>
  <si>
    <t xml:space="preserve">Tucson </t>
  </si>
  <si>
    <t>Q5</t>
  </si>
  <si>
    <t>NUOVA AUTOALPINA</t>
  </si>
  <si>
    <t>VETROCAR</t>
  </si>
  <si>
    <t>FU</t>
  </si>
  <si>
    <t>208 1.2 Puretech</t>
  </si>
  <si>
    <t>AUTORIPARAZIONI BADINO</t>
  </si>
  <si>
    <t>U.T.L.P. - RISERVA</t>
  </si>
  <si>
    <t>\</t>
  </si>
  <si>
    <t>QUESTURA DI REGGIO CALABRIA</t>
  </si>
  <si>
    <t>(Auto Civili)</t>
  </si>
  <si>
    <t>Tipologia di Mezzo</t>
  </si>
  <si>
    <t xml:space="preserve">       Fuel Card 
       (non toccare)</t>
  </si>
  <si>
    <t>Km       
 (non toccare)</t>
  </si>
  <si>
    <t>CODICE PAN 
Fuel Card Q8  
      (non toccare)</t>
  </si>
  <si>
    <t>CODICE PAN 
Fuel Card IP   
     (non toccare)</t>
  </si>
  <si>
    <t>QUESTURA DI BIELLA</t>
  </si>
  <si>
    <t>DIMAGLASS</t>
  </si>
  <si>
    <t>CUPPERI</t>
  </si>
  <si>
    <t>CIABERTA</t>
  </si>
  <si>
    <t>Tipo 1.5 S.W.</t>
  </si>
  <si>
    <t>Ducato Combi 2.2 Mjet</t>
  </si>
  <si>
    <t>MAMAMOTO</t>
  </si>
  <si>
    <t>VETRI VERCELLI</t>
  </si>
  <si>
    <t>Range 2.0 XLT</t>
  </si>
  <si>
    <t>DIVIESTO SPA</t>
  </si>
  <si>
    <t>ABATE</t>
  </si>
  <si>
    <t>FORD AUTHOS</t>
  </si>
  <si>
    <t>SAVIOLI VERCELLI</t>
  </si>
  <si>
    <t>TG ORIGINALE</t>
  </si>
  <si>
    <t>RAPPRES. Q. Sig.V.</t>
  </si>
  <si>
    <t>Colonna1</t>
  </si>
  <si>
    <t xml:space="preserve">            N°ISSI</t>
  </si>
  <si>
    <t>VETRI</t>
  </si>
  <si>
    <t>Telepass Seriale</t>
  </si>
  <si>
    <t>U.P.G. - 2^ Sezione- C.O.T.</t>
  </si>
  <si>
    <t>U.P.G. - 3^ Sezione- VOLANTI</t>
  </si>
  <si>
    <t>U.P.G. - 2^ Sezione - C.O.T.</t>
  </si>
  <si>
    <t>MO.VI</t>
  </si>
  <si>
    <t>AVATANEO</t>
  </si>
  <si>
    <t>OLTRE</t>
  </si>
  <si>
    <t>ZONA T.L.C.</t>
  </si>
  <si>
    <t>ALISIO</t>
  </si>
  <si>
    <t>K2</t>
  </si>
  <si>
    <t>LOCAUTO DUE</t>
  </si>
  <si>
    <t>ITALCLIMASRL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</si>
</sst>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4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u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 tint="-4.9989318521683403E-2"/>
      <name val="Calibri"/>
      <family val="2"/>
      <scheme val="minor"/>
    </font>
    <font>
      <sz val="12"/>
      <name val="Arial Rounded MT Bold"/>
      <family val="2"/>
    </font>
    <font>
      <sz val="11"/>
      <color theme="5" tint="-0.249977111117893"/>
      <name val="Calibri"/>
      <family val="2"/>
      <scheme val="minor"/>
    </font>
    <font>
      <sz val="12"/>
      <color theme="1" tint="0.34998626667073579"/>
      <name val="Antique Olive Compact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Arial Rounded MT Bold"/>
      <family val="2"/>
    </font>
    <font>
      <sz val="12"/>
      <color theme="1" tint="0.34998626667073579"/>
      <name val="Antique Olive Compact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Arial Rounded MT Bold"/>
      <family val="2"/>
    </font>
    <font>
      <sz val="12"/>
      <color theme="1" tint="0.34998626667073579"/>
      <name val="Antique Olive Compact"/>
      <family val="2"/>
    </font>
    <font>
      <sz val="11"/>
      <name val="Arial Rounded MT Bold"/>
      <family val="2"/>
    </font>
    <font>
      <sz val="11"/>
      <color theme="1" tint="0.34998626667073579"/>
      <name val="Antique Olive Compact"/>
      <family val="2"/>
    </font>
    <font>
      <b/>
      <sz val="11"/>
      <color theme="0" tint="-4.9989318521683403E-2"/>
      <name val="Calibri"/>
      <family val="2"/>
      <scheme val="minor"/>
    </font>
    <font>
      <sz val="11"/>
      <name val="Calibri"/>
      <family val="2"/>
      <scheme val="minor"/>
    </font>
    <font>
      <sz val="12"/>
      <color theme="1" tint="0.34998626667073579"/>
      <name val="Antique Olive Compact"/>
      <family val="2"/>
    </font>
    <font>
      <sz val="11"/>
      <name val="Calibri"/>
      <family val="2"/>
      <scheme val="minor"/>
    </font>
    <font>
      <sz val="12"/>
      <name val="Arial Rounded MT Bold"/>
      <family val="2"/>
    </font>
    <font>
      <sz val="12"/>
      <color theme="1" tint="0.34998626667073579"/>
      <name val="Antique Olive Compact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Arial Rounded MT Bold"/>
      <family val="2"/>
    </font>
    <font>
      <sz val="12"/>
      <color theme="1" tint="0.34998626667073579"/>
      <name val="Antique Olive Compact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 tint="0.34998626667073579"/>
      <name val="Antique Olive Compact"/>
      <family val="2"/>
    </font>
    <font>
      <sz val="8"/>
      <name val="Calibri"/>
      <family val="2"/>
      <scheme val="minor"/>
    </font>
    <font>
      <b/>
      <sz val="9.5"/>
      <color theme="1"/>
      <name val="Book Antiqua"/>
      <family val="1"/>
    </font>
    <font>
      <sz val="12"/>
      <name val="Arial Rounded MT Bold"/>
      <family val="2"/>
    </font>
    <font>
      <sz val="11"/>
      <color theme="1" tint="0.34998626667073579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9E5E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1F3E9"/>
        <bgColor indexed="64"/>
      </patternFill>
    </fill>
    <fill>
      <patternFill patternType="solid">
        <fgColor rgb="FFE6E8F2"/>
        <bgColor indexed="64"/>
      </patternFill>
    </fill>
    <fill>
      <patternFill patternType="solid">
        <fgColor rgb="FFC7DDF1"/>
        <bgColor indexed="64"/>
      </patternFill>
    </fill>
    <fill>
      <patternFill patternType="solid">
        <fgColor rgb="FFF5EDD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32" fillId="0" borderId="0"/>
  </cellStyleXfs>
  <cellXfs count="254">
    <xf numFmtId="0" fontId="0" fillId="0" borderId="0" xfId="0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0" fontId="1" fillId="0" borderId="0" xfId="0" applyFont="1"/>
    <xf numFmtId="0" fontId="3" fillId="2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/>
    <xf numFmtId="0" fontId="1" fillId="0" borderId="0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/>
    </xf>
    <xf numFmtId="0" fontId="0" fillId="0" borderId="2" xfId="0" applyFill="1" applyBorder="1"/>
    <xf numFmtId="0" fontId="1" fillId="0" borderId="2" xfId="0" applyFont="1" applyBorder="1"/>
    <xf numFmtId="0" fontId="1" fillId="0" borderId="0" xfId="0" applyFont="1" applyFill="1" applyBorder="1"/>
    <xf numFmtId="0" fontId="1" fillId="0" borderId="2" xfId="0" applyFont="1" applyFill="1" applyBorder="1"/>
    <xf numFmtId="0" fontId="0" fillId="0" borderId="2" xfId="0" applyFill="1" applyBorder="1" applyAlignment="1">
      <alignment horizontal="center"/>
    </xf>
    <xf numFmtId="0" fontId="1" fillId="0" borderId="3" xfId="0" applyFont="1" applyFill="1" applyBorder="1" applyAlignment="1" applyProtection="1">
      <alignment horizontal="left" vertical="center"/>
    </xf>
    <xf numFmtId="0" fontId="0" fillId="0" borderId="3" xfId="0" applyFill="1" applyBorder="1"/>
    <xf numFmtId="0" fontId="0" fillId="0" borderId="3" xfId="0" applyFill="1" applyBorder="1" applyAlignment="1">
      <alignment horizontal="left"/>
    </xf>
    <xf numFmtId="0" fontId="1" fillId="0" borderId="3" xfId="0" applyFont="1" applyBorder="1"/>
    <xf numFmtId="0" fontId="1" fillId="0" borderId="3" xfId="0" applyFont="1" applyFill="1" applyBorder="1"/>
    <xf numFmtId="0" fontId="0" fillId="0" borderId="3" xfId="0" applyFill="1" applyBorder="1" applyAlignment="1">
      <alignment horizontal="center"/>
    </xf>
    <xf numFmtId="0" fontId="1" fillId="0" borderId="4" xfId="0" applyFont="1" applyFill="1" applyBorder="1"/>
    <xf numFmtId="0" fontId="4" fillId="0" borderId="3" xfId="0" applyFont="1" applyBorder="1"/>
    <xf numFmtId="0" fontId="4" fillId="0" borderId="0" xfId="0" applyFont="1" applyFill="1" applyBorder="1"/>
    <xf numFmtId="0" fontId="5" fillId="0" borderId="0" xfId="0" applyFont="1" applyFill="1" applyBorder="1"/>
    <xf numFmtId="0" fontId="1" fillId="0" borderId="4" xfId="0" applyFont="1" applyFill="1" applyBorder="1" applyAlignment="1" applyProtection="1">
      <alignment horizontal="left" vertical="center"/>
    </xf>
    <xf numFmtId="0" fontId="1" fillId="0" borderId="0" xfId="0" applyFont="1" applyBorder="1"/>
    <xf numFmtId="0" fontId="0" fillId="0" borderId="4" xfId="0" applyFill="1" applyBorder="1"/>
    <xf numFmtId="0" fontId="1" fillId="0" borderId="4" xfId="0" applyFont="1" applyBorder="1"/>
    <xf numFmtId="0" fontId="0" fillId="0" borderId="4" xfId="0" applyFill="1" applyBorder="1" applyAlignment="1">
      <alignment horizontal="center"/>
    </xf>
    <xf numFmtId="0" fontId="0" fillId="0" borderId="4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10" fillId="0" borderId="3" xfId="0" applyFont="1" applyBorder="1"/>
    <xf numFmtId="0" fontId="6" fillId="5" borderId="0" xfId="0" applyFont="1" applyFill="1" applyBorder="1" applyAlignment="1" applyProtection="1">
      <alignment horizontal="center" textRotation="90" wrapText="1"/>
    </xf>
    <xf numFmtId="0" fontId="6" fillId="5" borderId="0" xfId="0" applyFont="1" applyFill="1" applyBorder="1" applyAlignment="1" applyProtection="1">
      <alignment horizontal="center" vertical="center" wrapText="1"/>
    </xf>
    <xf numFmtId="0" fontId="6" fillId="4" borderId="0" xfId="0" applyFont="1" applyFill="1" applyBorder="1" applyAlignment="1" applyProtection="1">
      <alignment horizontal="center" vertical="center" wrapText="1"/>
    </xf>
    <xf numFmtId="0" fontId="6" fillId="3" borderId="0" xfId="0" applyFont="1" applyFill="1" applyBorder="1" applyAlignment="1" applyProtection="1">
      <alignment horizontal="center" vertical="center" wrapText="1"/>
    </xf>
    <xf numFmtId="0" fontId="6" fillId="7" borderId="0" xfId="0" applyFont="1" applyFill="1" applyBorder="1" applyAlignment="1" applyProtection="1">
      <alignment horizontal="center" vertical="center" wrapText="1"/>
    </xf>
    <xf numFmtId="0" fontId="6" fillId="0" borderId="0" xfId="0" applyFont="1" applyFill="1" applyBorder="1" applyAlignment="1" applyProtection="1">
      <alignment horizontal="center" vertical="center" wrapText="1"/>
    </xf>
    <xf numFmtId="0" fontId="6" fillId="10" borderId="0" xfId="0" applyFont="1" applyFill="1" applyBorder="1" applyAlignment="1" applyProtection="1">
      <alignment horizontal="center" vertical="center" wrapText="1"/>
    </xf>
    <xf numFmtId="0" fontId="0" fillId="3" borderId="0" xfId="0" applyFill="1" applyBorder="1" applyAlignment="1" applyProtection="1">
      <alignment horizontal="center"/>
      <protection locked="0"/>
    </xf>
    <xf numFmtId="0" fontId="9" fillId="3" borderId="0" xfId="0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0" xfId="0" applyBorder="1" applyProtection="1">
      <protection locked="0"/>
    </xf>
    <xf numFmtId="0" fontId="0" fillId="0" borderId="0" xfId="0" applyBorder="1" applyAlignment="1" applyProtection="1">
      <alignment horizontal="left"/>
      <protection locked="0"/>
    </xf>
    <xf numFmtId="14" fontId="0" fillId="0" borderId="0" xfId="0" applyNumberFormat="1" applyBorder="1" applyAlignment="1" applyProtection="1">
      <alignment horizontal="center"/>
      <protection locked="0"/>
    </xf>
    <xf numFmtId="49" fontId="0" fillId="0" borderId="0" xfId="0" applyNumberFormat="1" applyBorder="1" applyAlignment="1" applyProtection="1">
      <alignment horizontal="left"/>
      <protection locked="0"/>
    </xf>
    <xf numFmtId="0" fontId="0" fillId="0" borderId="0" xfId="0" applyBorder="1" applyAlignment="1" applyProtection="1">
      <alignment horizontal="right"/>
      <protection locked="0"/>
    </xf>
    <xf numFmtId="164" fontId="0" fillId="0" borderId="0" xfId="0" applyNumberFormat="1" applyBorder="1" applyAlignment="1" applyProtection="1">
      <alignment horizontal="center" vertical="center"/>
      <protection locked="0"/>
    </xf>
    <xf numFmtId="14" fontId="0" fillId="0" borderId="0" xfId="0" applyNumberFormat="1" applyBorder="1" applyProtection="1">
      <protection locked="0"/>
    </xf>
    <xf numFmtId="0" fontId="8" fillId="6" borderId="0" xfId="0" applyNumberFormat="1" applyFont="1" applyFill="1" applyBorder="1" applyAlignment="1" applyProtection="1">
      <alignment horizontal="center" vertical="center"/>
      <protection locked="0"/>
    </xf>
    <xf numFmtId="14" fontId="0" fillId="0" borderId="0" xfId="0" applyNumberFormat="1" applyBorder="1" applyAlignment="1" applyProtection="1">
      <alignment horizontal="right"/>
      <protection locked="0"/>
    </xf>
    <xf numFmtId="14" fontId="6" fillId="6" borderId="0" xfId="0" applyNumberFormat="1" applyFont="1" applyFill="1" applyBorder="1" applyAlignment="1" applyProtection="1">
      <alignment horizontal="center" vertical="center" wrapText="1"/>
    </xf>
    <xf numFmtId="14" fontId="6" fillId="9" borderId="0" xfId="0" applyNumberFormat="1" applyFont="1" applyFill="1" applyBorder="1" applyAlignment="1" applyProtection="1">
      <alignment horizontal="center" vertical="center" wrapText="1"/>
    </xf>
    <xf numFmtId="0" fontId="6" fillId="9" borderId="0" xfId="0" applyFont="1" applyFill="1" applyBorder="1" applyAlignment="1" applyProtection="1">
      <alignment horizontal="center" vertical="center" wrapText="1"/>
    </xf>
    <xf numFmtId="14" fontId="6" fillId="7" borderId="0" xfId="0" applyNumberFormat="1" applyFont="1" applyFill="1" applyBorder="1" applyAlignment="1" applyProtection="1">
      <alignment horizontal="center" vertical="center" wrapText="1"/>
    </xf>
    <xf numFmtId="14" fontId="6" fillId="8" borderId="0" xfId="0" applyNumberFormat="1" applyFont="1" applyFill="1" applyBorder="1" applyAlignment="1" applyProtection="1">
      <alignment horizontal="center" vertical="center" wrapText="1"/>
    </xf>
    <xf numFmtId="0" fontId="6" fillId="8" borderId="0" xfId="0" applyFont="1" applyFill="1" applyBorder="1" applyAlignment="1" applyProtection="1">
      <alignment horizontal="center" vertical="center" wrapText="1"/>
    </xf>
    <xf numFmtId="0" fontId="0" fillId="0" borderId="0" xfId="0" applyFill="1" applyBorder="1" applyAlignment="1" applyProtection="1">
      <alignment wrapText="1"/>
    </xf>
    <xf numFmtId="0" fontId="0" fillId="0" borderId="0" xfId="0" applyBorder="1" applyAlignment="1" applyProtection="1">
      <alignment wrapText="1"/>
    </xf>
    <xf numFmtId="0" fontId="13" fillId="5" borderId="0" xfId="0" applyFont="1" applyFill="1" applyBorder="1" applyAlignment="1" applyProtection="1">
      <alignment horizontal="center" vertical="center" wrapText="1"/>
    </xf>
    <xf numFmtId="0" fontId="6" fillId="3" borderId="0" xfId="0" applyFont="1" applyFill="1" applyBorder="1" applyAlignment="1" applyProtection="1">
      <alignment horizontal="center" textRotation="90" wrapText="1"/>
    </xf>
    <xf numFmtId="0" fontId="1" fillId="5" borderId="1" xfId="0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0" fillId="0" borderId="0" xfId="0" applyBorder="1" applyAlignment="1" applyProtection="1">
      <alignment horizontal="center" vertical="top" wrapText="1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14" fontId="6" fillId="3" borderId="0" xfId="0" applyNumberFormat="1" applyFont="1" applyFill="1" applyBorder="1" applyAlignment="1" applyProtection="1">
      <alignment horizontal="center" vertical="center" wrapText="1"/>
    </xf>
    <xf numFmtId="14" fontId="0" fillId="0" borderId="0" xfId="0" applyNumberFormat="1" applyBorder="1" applyAlignment="1" applyProtection="1">
      <alignment horizontal="center" vertical="center"/>
      <protection locked="0"/>
    </xf>
    <xf numFmtId="0" fontId="13" fillId="5" borderId="0" xfId="0" applyFont="1" applyFill="1" applyBorder="1" applyAlignment="1" applyProtection="1">
      <alignment horizontal="center" textRotation="90" wrapText="1"/>
    </xf>
    <xf numFmtId="0" fontId="12" fillId="0" borderId="0" xfId="0" applyFont="1" applyBorder="1" applyAlignment="1" applyProtection="1">
      <alignment horizontal="center"/>
      <protection locked="0"/>
    </xf>
    <xf numFmtId="0" fontId="0" fillId="3" borderId="0" xfId="0" applyFill="1" applyBorder="1" applyProtection="1">
      <protection locked="0"/>
    </xf>
    <xf numFmtId="0" fontId="0" fillId="3" borderId="0" xfId="0" applyFill="1" applyBorder="1" applyAlignment="1" applyProtection="1">
      <alignment horizontal="left"/>
      <protection locked="0"/>
    </xf>
    <xf numFmtId="14" fontId="0" fillId="3" borderId="0" xfId="0" applyNumberFormat="1" applyFill="1" applyBorder="1" applyAlignment="1" applyProtection="1">
      <alignment horizontal="center"/>
      <protection locked="0"/>
    </xf>
    <xf numFmtId="49" fontId="0" fillId="0" borderId="0" xfId="0" applyNumberFormat="1" applyBorder="1" applyAlignment="1" applyProtection="1">
      <alignment horizontal="center"/>
      <protection locked="0"/>
    </xf>
    <xf numFmtId="0" fontId="0" fillId="0" borderId="0" xfId="0" applyFill="1" applyBorder="1" applyProtection="1">
      <protection locked="0"/>
    </xf>
    <xf numFmtId="0" fontId="0" fillId="3" borderId="0" xfId="0" applyFill="1" applyBorder="1" applyAlignment="1" applyProtection="1">
      <alignment horizontal="right"/>
      <protection locked="0"/>
    </xf>
    <xf numFmtId="0" fontId="7" fillId="0" borderId="0" xfId="1" applyBorder="1" applyAlignment="1" applyProtection="1">
      <alignment horizontal="right"/>
      <protection locked="0"/>
    </xf>
    <xf numFmtId="0" fontId="10" fillId="0" borderId="0" xfId="0" applyFont="1" applyBorder="1" applyProtection="1">
      <protection locked="0"/>
    </xf>
    <xf numFmtId="0" fontId="0" fillId="0" borderId="0" xfId="0" applyBorder="1"/>
    <xf numFmtId="14" fontId="0" fillId="3" borderId="0" xfId="0" applyNumberFormat="1" applyFill="1" applyBorder="1" applyAlignment="1" applyProtection="1">
      <alignment horizontal="center" vertical="center"/>
      <protection locked="0"/>
    </xf>
    <xf numFmtId="14" fontId="0" fillId="3" borderId="0" xfId="0" applyNumberFormat="1" applyFill="1" applyBorder="1" applyAlignment="1" applyProtection="1">
      <alignment horizontal="left"/>
      <protection locked="0"/>
    </xf>
    <xf numFmtId="14" fontId="0" fillId="3" borderId="0" xfId="0" applyNumberFormat="1" applyFill="1" applyBorder="1" applyAlignment="1" applyProtection="1">
      <alignment horizontal="right"/>
      <protection locked="0"/>
    </xf>
    <xf numFmtId="0" fontId="11" fillId="6" borderId="0" xfId="0" applyFont="1" applyFill="1" applyBorder="1" applyAlignment="1" applyProtection="1">
      <alignment horizontal="center" vertical="center"/>
      <protection locked="0"/>
    </xf>
    <xf numFmtId="0" fontId="11" fillId="6" borderId="0" xfId="0" applyFont="1" applyFill="1" applyBorder="1" applyAlignment="1" applyProtection="1">
      <alignment horizontal="center"/>
      <protection locked="0"/>
    </xf>
    <xf numFmtId="0" fontId="6" fillId="6" borderId="0" xfId="0" applyFont="1" applyFill="1" applyBorder="1" applyAlignment="1" applyProtection="1">
      <alignment horizontal="center" textRotation="90" wrapText="1"/>
    </xf>
    <xf numFmtId="0" fontId="1" fillId="5" borderId="2" xfId="0" applyFont="1" applyFill="1" applyBorder="1" applyAlignment="1">
      <alignment horizontal="center" vertical="center" wrapText="1"/>
    </xf>
    <xf numFmtId="0" fontId="14" fillId="5" borderId="0" xfId="0" applyFont="1" applyFill="1" applyBorder="1" applyAlignment="1" applyProtection="1">
      <alignment horizontal="center" vertical="center"/>
      <protection locked="0"/>
    </xf>
    <xf numFmtId="0" fontId="14" fillId="5" borderId="0" xfId="0" applyNumberFormat="1" applyFont="1" applyFill="1" applyBorder="1" applyAlignment="1" applyProtection="1">
      <alignment horizontal="center" vertical="center"/>
      <protection locked="0"/>
    </xf>
    <xf numFmtId="0" fontId="15" fillId="5" borderId="5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14" fillId="5" borderId="6" xfId="0" applyNumberFormat="1" applyFont="1" applyFill="1" applyBorder="1" applyAlignment="1">
      <alignment horizontal="center" vertical="center"/>
    </xf>
    <xf numFmtId="0" fontId="1" fillId="14" borderId="6" xfId="0" applyFont="1" applyFill="1" applyBorder="1"/>
    <xf numFmtId="0" fontId="0" fillId="14" borderId="6" xfId="0" applyFont="1" applyFill="1" applyBorder="1" applyAlignment="1">
      <alignment horizontal="right"/>
    </xf>
    <xf numFmtId="0" fontId="1" fillId="0" borderId="6" xfId="0" applyFont="1" applyBorder="1"/>
    <xf numFmtId="0" fontId="0" fillId="0" borderId="6" xfId="0" applyFont="1" applyBorder="1" applyAlignment="1">
      <alignment horizontal="right"/>
    </xf>
    <xf numFmtId="0" fontId="14" fillId="13" borderId="6" xfId="0" applyFont="1" applyFill="1" applyBorder="1" applyAlignment="1">
      <alignment horizontal="center" vertical="center"/>
    </xf>
    <xf numFmtId="0" fontId="1" fillId="12" borderId="6" xfId="0" applyFont="1" applyFill="1" applyBorder="1"/>
    <xf numFmtId="0" fontId="14" fillId="13" borderId="6" xfId="0" applyNumberFormat="1" applyFont="1" applyFill="1" applyBorder="1" applyAlignment="1">
      <alignment horizontal="center" vertical="center"/>
    </xf>
    <xf numFmtId="0" fontId="1" fillId="13" borderId="6" xfId="0" applyFont="1" applyFill="1" applyBorder="1"/>
    <xf numFmtId="0" fontId="14" fillId="0" borderId="6" xfId="0" applyFont="1" applyBorder="1" applyAlignment="1">
      <alignment horizontal="center" vertical="center"/>
    </xf>
    <xf numFmtId="0" fontId="14" fillId="14" borderId="6" xfId="0" applyFont="1" applyFill="1" applyBorder="1" applyAlignment="1">
      <alignment horizontal="center" vertical="center"/>
    </xf>
    <xf numFmtId="0" fontId="1" fillId="11" borderId="6" xfId="0" applyFont="1" applyFill="1" applyBorder="1"/>
    <xf numFmtId="0" fontId="6" fillId="15" borderId="0" xfId="0" applyFont="1" applyFill="1" applyBorder="1" applyAlignment="1" applyProtection="1">
      <alignment horizontal="center" vertical="center" wrapText="1"/>
    </xf>
    <xf numFmtId="0" fontId="0" fillId="16" borderId="0" xfId="0" applyFill="1" applyBorder="1" applyAlignment="1" applyProtection="1">
      <alignment horizontal="center"/>
      <protection locked="0"/>
    </xf>
    <xf numFmtId="0" fontId="0" fillId="16" borderId="0" xfId="0" applyFill="1" applyBorder="1" applyProtection="1">
      <protection locked="0"/>
    </xf>
    <xf numFmtId="0" fontId="17" fillId="5" borderId="0" xfId="0" applyNumberFormat="1" applyFont="1" applyFill="1" applyBorder="1" applyAlignment="1" applyProtection="1">
      <alignment horizontal="center" vertical="center"/>
      <protection locked="0"/>
    </xf>
    <xf numFmtId="0" fontId="18" fillId="3" borderId="0" xfId="0" applyFont="1" applyFill="1" applyBorder="1" applyAlignment="1" applyProtection="1">
      <alignment horizontal="center" vertical="center"/>
      <protection locked="0"/>
    </xf>
    <xf numFmtId="0" fontId="19" fillId="6" borderId="0" xfId="0" applyFont="1" applyFill="1" applyBorder="1" applyAlignment="1" applyProtection="1">
      <alignment horizontal="center" vertical="center"/>
      <protection locked="0"/>
    </xf>
    <xf numFmtId="164" fontId="19" fillId="0" borderId="0" xfId="0" applyNumberFormat="1" applyFont="1" applyFill="1" applyBorder="1" applyAlignment="1" applyProtection="1">
      <alignment horizontal="center" vertical="center"/>
      <protection locked="0"/>
    </xf>
    <xf numFmtId="0" fontId="1" fillId="16" borderId="0" xfId="0" applyFont="1" applyFill="1" applyBorder="1" applyAlignment="1" applyProtection="1">
      <alignment horizontal="left" vertical="center"/>
      <protection locked="0"/>
    </xf>
    <xf numFmtId="164" fontId="11" fillId="0" borderId="0" xfId="0" applyNumberFormat="1" applyFont="1" applyFill="1" applyBorder="1" applyAlignment="1" applyProtection="1">
      <alignment horizontal="center" vertical="center"/>
      <protection locked="0"/>
    </xf>
    <xf numFmtId="49" fontId="1" fillId="16" borderId="0" xfId="0" applyNumberFormat="1" applyFont="1" applyFill="1" applyBorder="1" applyAlignment="1" applyProtection="1">
      <alignment horizontal="center"/>
      <protection locked="0"/>
    </xf>
    <xf numFmtId="14" fontId="0" fillId="15" borderId="0" xfId="0" applyNumberFormat="1" applyFill="1" applyBorder="1" applyAlignment="1" applyProtection="1">
      <alignment horizontal="center"/>
      <protection locked="0"/>
    </xf>
    <xf numFmtId="14" fontId="0" fillId="16" borderId="0" xfId="0" applyNumberFormat="1" applyFill="1" applyBorder="1" applyAlignment="1" applyProtection="1">
      <alignment horizontal="center"/>
      <protection locked="0"/>
    </xf>
    <xf numFmtId="49" fontId="0" fillId="16" borderId="0" xfId="0" applyNumberFormat="1" applyFill="1" applyBorder="1" applyAlignment="1" applyProtection="1">
      <alignment horizontal="center"/>
      <protection locked="0"/>
    </xf>
    <xf numFmtId="164" fontId="0" fillId="16" borderId="0" xfId="0" applyNumberFormat="1" applyFill="1" applyBorder="1" applyAlignment="1" applyProtection="1">
      <alignment horizontal="center" vertical="center"/>
      <protection locked="0"/>
    </xf>
    <xf numFmtId="0" fontId="11" fillId="16" borderId="0" xfId="0" applyFont="1" applyFill="1" applyBorder="1" applyAlignment="1" applyProtection="1">
      <alignment horizontal="center" vertical="center"/>
      <protection locked="0"/>
    </xf>
    <xf numFmtId="14" fontId="0" fillId="16" borderId="0" xfId="0" applyNumberFormat="1" applyFill="1" applyBorder="1" applyProtection="1">
      <protection locked="0"/>
    </xf>
    <xf numFmtId="14" fontId="0" fillId="16" borderId="0" xfId="0" applyNumberFormat="1" applyFill="1" applyBorder="1" applyAlignment="1" applyProtection="1">
      <alignment horizontal="center" vertical="center"/>
      <protection locked="0"/>
    </xf>
    <xf numFmtId="0" fontId="0" fillId="16" borderId="0" xfId="0" applyFill="1" applyBorder="1" applyAlignment="1" applyProtection="1">
      <alignment horizontal="right"/>
      <protection locked="0"/>
    </xf>
    <xf numFmtId="16" fontId="0" fillId="0" borderId="0" xfId="0" applyNumberFormat="1" applyBorder="1" applyAlignment="1" applyProtection="1">
      <alignment horizontal="center"/>
      <protection locked="0"/>
    </xf>
    <xf numFmtId="0" fontId="1" fillId="0" borderId="0" xfId="0" applyFont="1" applyBorder="1" applyAlignment="1" applyProtection="1">
      <alignment horizontal="right"/>
      <protection locked="0"/>
    </xf>
    <xf numFmtId="0" fontId="1" fillId="0" borderId="0" xfId="0" applyFont="1" applyFill="1" applyBorder="1" applyAlignment="1" applyProtection="1">
      <alignment horizontal="right"/>
      <protection locked="0"/>
    </xf>
    <xf numFmtId="0" fontId="1" fillId="17" borderId="0" xfId="0" applyFont="1" applyFill="1" applyBorder="1" applyAlignment="1" applyProtection="1">
      <alignment horizontal="right"/>
      <protection locked="0"/>
    </xf>
    <xf numFmtId="0" fontId="1" fillId="16" borderId="0" xfId="0" applyFont="1" applyFill="1" applyBorder="1" applyAlignment="1" applyProtection="1">
      <alignment horizontal="right"/>
      <protection locked="0"/>
    </xf>
    <xf numFmtId="0" fontId="1" fillId="15" borderId="0" xfId="0" applyFont="1" applyFill="1" applyBorder="1" applyAlignment="1" applyProtection="1">
      <alignment horizontal="right"/>
      <protection locked="0"/>
    </xf>
    <xf numFmtId="16" fontId="0" fillId="0" borderId="0" xfId="0" applyNumberFormat="1" applyBorder="1" applyProtection="1">
      <protection locked="0"/>
    </xf>
    <xf numFmtId="0" fontId="0" fillId="0" borderId="0" xfId="0" applyBorder="1" applyAlignment="1">
      <alignment horizontal="center"/>
    </xf>
    <xf numFmtId="14" fontId="0" fillId="15" borderId="0" xfId="0" applyNumberFormat="1" applyFill="1" applyBorder="1" applyAlignment="1" applyProtection="1">
      <alignment horizontal="right"/>
      <protection locked="0"/>
    </xf>
    <xf numFmtId="14" fontId="0" fillId="16" borderId="0" xfId="0" applyNumberFormat="1" applyFill="1" applyBorder="1" applyAlignment="1" applyProtection="1">
      <alignment horizontal="right"/>
      <protection locked="0"/>
    </xf>
    <xf numFmtId="0" fontId="8" fillId="16" borderId="0" xfId="0" applyNumberFormat="1" applyFont="1" applyFill="1" applyBorder="1" applyAlignment="1" applyProtection="1">
      <alignment horizontal="center" vertical="center"/>
      <protection locked="0"/>
    </xf>
    <xf numFmtId="0" fontId="1" fillId="16" borderId="0" xfId="0" applyNumberFormat="1" applyFont="1" applyFill="1" applyBorder="1" applyAlignment="1" applyProtection="1">
      <alignment horizontal="left" vertical="center"/>
      <protection locked="0"/>
    </xf>
    <xf numFmtId="164" fontId="19" fillId="16" borderId="0" xfId="0" applyNumberFormat="1" applyFont="1" applyFill="1" applyBorder="1" applyAlignment="1" applyProtection="1">
      <alignment horizontal="center" vertical="center"/>
      <protection locked="0"/>
    </xf>
    <xf numFmtId="14" fontId="0" fillId="0" borderId="0" xfId="0" applyNumberFormat="1" applyBorder="1" applyAlignment="1" applyProtection="1">
      <alignment horizontal="left" vertical="center"/>
      <protection locked="0"/>
    </xf>
    <xf numFmtId="0" fontId="0" fillId="16" borderId="0" xfId="0" applyFill="1" applyBorder="1" applyAlignment="1" applyProtection="1">
      <alignment horizontal="left"/>
      <protection locked="0"/>
    </xf>
    <xf numFmtId="0" fontId="13" fillId="4" borderId="0" xfId="0" applyFont="1" applyFill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/>
      <protection locked="0"/>
    </xf>
    <xf numFmtId="14" fontId="1" fillId="3" borderId="0" xfId="0" applyNumberFormat="1" applyFont="1" applyFill="1" applyBorder="1" applyAlignment="1" applyProtection="1">
      <alignment horizontal="center"/>
      <protection locked="0"/>
    </xf>
    <xf numFmtId="0" fontId="1" fillId="16" borderId="0" xfId="0" applyFont="1" applyFill="1" applyBorder="1" applyAlignment="1" applyProtection="1">
      <alignment horizontal="center"/>
      <protection locked="0"/>
    </xf>
    <xf numFmtId="14" fontId="1" fillId="16" borderId="0" xfId="0" applyNumberFormat="1" applyFont="1" applyFill="1" applyBorder="1" applyAlignment="1" applyProtection="1">
      <alignment horizontal="center"/>
      <protection locked="0"/>
    </xf>
    <xf numFmtId="0" fontId="1" fillId="0" borderId="0" xfId="0" applyFont="1" applyBorder="1" applyProtection="1">
      <protection locked="0"/>
    </xf>
    <xf numFmtId="49" fontId="1" fillId="0" borderId="0" xfId="0" applyNumberFormat="1" applyFont="1" applyBorder="1" applyAlignment="1" applyProtection="1">
      <alignment horizontal="right"/>
      <protection locked="0"/>
    </xf>
    <xf numFmtId="0" fontId="1" fillId="15" borderId="0" xfId="0" applyFont="1" applyFill="1" applyBorder="1" applyAlignment="1" applyProtection="1">
      <alignment horizontal="left" vertical="center"/>
      <protection locked="0"/>
    </xf>
    <xf numFmtId="16" fontId="11" fillId="0" borderId="0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Font="1" applyBorder="1"/>
    <xf numFmtId="0" fontId="22" fillId="3" borderId="0" xfId="0" applyFont="1" applyFill="1" applyBorder="1" applyAlignment="1" applyProtection="1">
      <alignment horizontal="center" vertical="center"/>
      <protection locked="0"/>
    </xf>
    <xf numFmtId="164" fontId="23" fillId="0" borderId="0" xfId="0" applyNumberFormat="1" applyFont="1" applyFill="1" applyBorder="1" applyAlignment="1" applyProtection="1">
      <alignment horizontal="center" vertical="center"/>
      <protection locked="0"/>
    </xf>
    <xf numFmtId="14" fontId="20" fillId="3" borderId="0" xfId="0" applyNumberFormat="1" applyFont="1" applyFill="1" applyBorder="1" applyAlignment="1" applyProtection="1">
      <alignment horizontal="center"/>
      <protection locked="0"/>
    </xf>
    <xf numFmtId="14" fontId="0" fillId="0" borderId="0" xfId="0" applyNumberFormat="1" applyBorder="1" applyAlignment="1" applyProtection="1">
      <alignment vertical="center"/>
      <protection locked="0"/>
    </xf>
    <xf numFmtId="0" fontId="0" fillId="0" borderId="0" xfId="0" applyBorder="1" applyAlignment="1" applyProtection="1">
      <protection locked="0"/>
    </xf>
    <xf numFmtId="14" fontId="0" fillId="0" borderId="0" xfId="0" applyNumberFormat="1" applyBorder="1" applyAlignment="1" applyProtection="1">
      <alignment horizontal="left"/>
      <protection locked="0"/>
    </xf>
    <xf numFmtId="14" fontId="0" fillId="16" borderId="0" xfId="0" applyNumberFormat="1" applyFill="1" applyBorder="1" applyAlignment="1" applyProtection="1">
      <alignment horizontal="left"/>
      <protection locked="0"/>
    </xf>
    <xf numFmtId="0" fontId="21" fillId="16" borderId="0" xfId="0" applyNumberFormat="1" applyFont="1" applyFill="1" applyBorder="1" applyAlignment="1" applyProtection="1">
      <alignment horizontal="center" vertical="center"/>
      <protection locked="0"/>
    </xf>
    <xf numFmtId="0" fontId="14" fillId="16" borderId="0" xfId="0" applyNumberFormat="1" applyFont="1" applyFill="1" applyBorder="1" applyAlignment="1" applyProtection="1">
      <alignment horizontal="center" vertical="center"/>
      <protection locked="0"/>
    </xf>
    <xf numFmtId="0" fontId="17" fillId="16" borderId="0" xfId="0" applyNumberFormat="1" applyFont="1" applyFill="1" applyBorder="1" applyAlignment="1" applyProtection="1">
      <alignment horizontal="center" vertical="center"/>
      <protection locked="0"/>
    </xf>
    <xf numFmtId="0" fontId="14" fillId="15" borderId="0" xfId="0" applyNumberFormat="1" applyFont="1" applyFill="1" applyBorder="1" applyAlignment="1" applyProtection="1">
      <alignment horizontal="center" vertical="center"/>
      <protection locked="0"/>
    </xf>
    <xf numFmtId="0" fontId="0" fillId="16" borderId="0" xfId="0" applyNumberFormat="1" applyFont="1" applyFill="1" applyBorder="1" applyAlignment="1" applyProtection="1">
      <alignment horizontal="center" vertical="center"/>
      <protection locked="0"/>
    </xf>
    <xf numFmtId="14" fontId="0" fillId="0" borderId="0" xfId="0" applyNumberFormat="1" applyFont="1" applyBorder="1" applyAlignment="1" applyProtection="1">
      <alignment horizontal="center"/>
      <protection locked="0"/>
    </xf>
    <xf numFmtId="0" fontId="0" fillId="0" borderId="0" xfId="0" applyFont="1" applyBorder="1" applyAlignment="1" applyProtection="1">
      <alignment horizontal="center"/>
      <protection locked="0"/>
    </xf>
    <xf numFmtId="0" fontId="0" fillId="0" borderId="0" xfId="0" applyFont="1" applyBorder="1" applyProtection="1">
      <protection locked="0"/>
    </xf>
    <xf numFmtId="164" fontId="0" fillId="0" borderId="0" xfId="0" applyNumberFormat="1" applyFont="1" applyBorder="1" applyAlignment="1" applyProtection="1">
      <alignment horizontal="center" vertical="center"/>
      <protection locked="0"/>
    </xf>
    <xf numFmtId="164" fontId="25" fillId="0" borderId="0" xfId="0" applyNumberFormat="1" applyFont="1" applyFill="1" applyBorder="1" applyAlignment="1" applyProtection="1">
      <alignment horizontal="center" vertical="center"/>
      <protection locked="0"/>
    </xf>
    <xf numFmtId="14" fontId="0" fillId="0" borderId="0" xfId="0" applyNumberFormat="1" applyFont="1" applyBorder="1" applyProtection="1">
      <protection locked="0"/>
    </xf>
    <xf numFmtId="14" fontId="0" fillId="0" borderId="0" xfId="0" applyNumberFormat="1" applyFont="1" applyBorder="1" applyAlignment="1" applyProtection="1">
      <alignment horizontal="center" vertical="center"/>
      <protection locked="0"/>
    </xf>
    <xf numFmtId="0" fontId="0" fillId="0" borderId="0" xfId="0" applyFont="1"/>
    <xf numFmtId="0" fontId="0" fillId="0" borderId="0" xfId="0" applyFont="1" applyBorder="1" applyAlignment="1" applyProtection="1">
      <alignment horizontal="left"/>
      <protection locked="0"/>
    </xf>
    <xf numFmtId="14" fontId="0" fillId="0" borderId="0" xfId="0" applyNumberFormat="1" applyFont="1" applyBorder="1" applyAlignment="1" applyProtection="1">
      <alignment horizontal="right"/>
      <protection locked="0"/>
    </xf>
    <xf numFmtId="14" fontId="0" fillId="0" borderId="0" xfId="0" applyNumberFormat="1" applyFont="1" applyBorder="1" applyAlignment="1" applyProtection="1">
      <alignment horizontal="left" vertical="center"/>
      <protection locked="0"/>
    </xf>
    <xf numFmtId="0" fontId="27" fillId="0" borderId="0" xfId="0" applyFont="1" applyBorder="1" applyAlignment="1" applyProtection="1">
      <alignment horizontal="center"/>
      <protection locked="0"/>
    </xf>
    <xf numFmtId="164" fontId="28" fillId="0" borderId="0" xfId="0" applyNumberFormat="1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Border="1" applyAlignment="1" applyProtection="1">
      <alignment horizontal="left" vertical="center"/>
      <protection locked="0"/>
    </xf>
    <xf numFmtId="0" fontId="0" fillId="0" borderId="0" xfId="0" applyAlignment="1">
      <alignment horizontal="center"/>
    </xf>
    <xf numFmtId="0" fontId="0" fillId="0" borderId="0" xfId="0" applyNumberFormat="1" applyBorder="1" applyAlignment="1">
      <alignment horizontal="center"/>
    </xf>
    <xf numFmtId="0" fontId="29" fillId="0" borderId="0" xfId="0" applyFont="1" applyBorder="1" applyAlignment="1" applyProtection="1">
      <alignment horizontal="center"/>
      <protection locked="0"/>
    </xf>
    <xf numFmtId="0" fontId="30" fillId="3" borderId="0" xfId="0" applyFont="1" applyFill="1" applyBorder="1" applyAlignment="1" applyProtection="1">
      <alignment horizontal="center" vertical="center"/>
      <protection locked="0"/>
    </xf>
    <xf numFmtId="0" fontId="31" fillId="6" borderId="0" xfId="0" applyFont="1" applyFill="1" applyBorder="1" applyAlignment="1" applyProtection="1">
      <alignment horizontal="center" vertical="center"/>
      <protection locked="0"/>
    </xf>
    <xf numFmtId="164" fontId="31" fillId="0" borderId="0" xfId="0" applyNumberFormat="1" applyFont="1" applyFill="1" applyBorder="1" applyAlignment="1" applyProtection="1">
      <alignment horizontal="center" vertical="center"/>
      <protection locked="0"/>
    </xf>
    <xf numFmtId="0" fontId="13" fillId="5" borderId="0" xfId="0" applyFont="1" applyFill="1" applyBorder="1" applyAlignment="1" applyProtection="1">
      <alignment horizontal="center" vertical="center" textRotation="90" wrapText="1"/>
    </xf>
    <xf numFmtId="0" fontId="20" fillId="3" borderId="0" xfId="0" applyNumberFormat="1" applyFont="1" applyFill="1" applyBorder="1" applyAlignment="1" applyProtection="1">
      <alignment horizontal="center"/>
      <protection locked="0"/>
    </xf>
    <xf numFmtId="0" fontId="1" fillId="3" borderId="0" xfId="0" applyNumberFormat="1" applyFont="1" applyFill="1" applyBorder="1" applyAlignment="1" applyProtection="1">
      <alignment horizontal="center"/>
      <protection locked="0"/>
    </xf>
    <xf numFmtId="0" fontId="1" fillId="16" borderId="0" xfId="0" applyNumberFormat="1" applyFont="1" applyFill="1" applyBorder="1" applyAlignment="1" applyProtection="1">
      <alignment horizontal="center"/>
      <protection locked="0"/>
    </xf>
    <xf numFmtId="0" fontId="35" fillId="3" borderId="0" xfId="0" applyFont="1" applyFill="1" applyBorder="1" applyAlignment="1" applyProtection="1">
      <alignment horizontal="center" vertical="center"/>
      <protection locked="0"/>
    </xf>
    <xf numFmtId="0" fontId="36" fillId="6" borderId="0" xfId="0" applyFont="1" applyFill="1" applyBorder="1" applyAlignment="1" applyProtection="1">
      <alignment horizontal="center" vertical="center"/>
      <protection locked="0"/>
    </xf>
    <xf numFmtId="164" fontId="36" fillId="0" borderId="0" xfId="0" applyNumberFormat="1" applyFont="1" applyFill="1" applyBorder="1" applyAlignment="1" applyProtection="1">
      <alignment horizontal="center" vertical="center"/>
      <protection locked="0"/>
    </xf>
    <xf numFmtId="0" fontId="33" fillId="0" borderId="0" xfId="0" applyNumberFormat="1" applyFont="1" applyBorder="1" applyAlignment="1" applyProtection="1">
      <alignment horizontal="center"/>
      <protection locked="0"/>
    </xf>
    <xf numFmtId="0" fontId="34" fillId="15" borderId="0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ont="1" applyFill="1" applyBorder="1" applyAlignment="1" applyProtection="1">
      <alignment horizontal="center"/>
      <protection locked="0"/>
    </xf>
    <xf numFmtId="49" fontId="35" fillId="16" borderId="0" xfId="0" applyNumberFormat="1" applyFont="1" applyFill="1" applyBorder="1" applyAlignment="1" applyProtection="1">
      <alignment horizontal="center"/>
      <protection locked="0"/>
    </xf>
    <xf numFmtId="49" fontId="35" fillId="15" borderId="0" xfId="0" applyNumberFormat="1" applyFont="1" applyFill="1" applyBorder="1" applyAlignment="1" applyProtection="1">
      <alignment horizontal="center"/>
      <protection locked="0"/>
    </xf>
    <xf numFmtId="0" fontId="34" fillId="5" borderId="0" xfId="0" applyNumberFormat="1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Border="1" applyAlignment="1" applyProtection="1">
      <alignment horizontal="right"/>
      <protection locked="0"/>
    </xf>
    <xf numFmtId="49" fontId="1" fillId="3" borderId="0" xfId="0" applyNumberFormat="1" applyFont="1" applyFill="1" applyBorder="1" applyAlignment="1" applyProtection="1">
      <alignment horizontal="center"/>
      <protection locked="0"/>
    </xf>
    <xf numFmtId="0" fontId="38" fillId="5" borderId="0" xfId="0" applyNumberFormat="1" applyFont="1" applyFill="1" applyBorder="1" applyAlignment="1" applyProtection="1">
      <alignment horizontal="center" vertical="center"/>
      <protection locked="0"/>
    </xf>
    <xf numFmtId="0" fontId="39" fillId="6" borderId="0" xfId="0" applyFont="1" applyFill="1" applyBorder="1" applyAlignment="1" applyProtection="1">
      <alignment horizontal="center" vertical="center"/>
      <protection locked="0"/>
    </xf>
    <xf numFmtId="164" fontId="39" fillId="0" borderId="0" xfId="0" applyNumberFormat="1" applyFont="1" applyFill="1" applyBorder="1" applyAlignment="1" applyProtection="1">
      <alignment horizontal="center" vertical="center"/>
      <protection locked="0"/>
    </xf>
    <xf numFmtId="14" fontId="37" fillId="3" borderId="0" xfId="0" applyNumberFormat="1" applyFont="1" applyFill="1" applyBorder="1" applyAlignment="1" applyProtection="1">
      <alignment horizontal="center"/>
      <protection locked="0"/>
    </xf>
    <xf numFmtId="0" fontId="37" fillId="0" borderId="0" xfId="0" applyNumberFormat="1" applyFont="1" applyBorder="1" applyAlignment="1" applyProtection="1">
      <alignment horizontal="center"/>
      <protection locked="0"/>
    </xf>
    <xf numFmtId="0" fontId="0" fillId="16" borderId="0" xfId="0" applyFont="1" applyFill="1" applyBorder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49" fontId="24" fillId="16" borderId="0" xfId="0" applyNumberFormat="1" applyFont="1" applyFill="1" applyBorder="1" applyAlignment="1" applyProtection="1">
      <alignment horizontal="center"/>
      <protection locked="0"/>
    </xf>
    <xf numFmtId="0" fontId="42" fillId="3" borderId="0" xfId="0" applyFont="1" applyFill="1" applyBorder="1" applyAlignment="1" applyProtection="1">
      <alignment horizontal="center" vertical="center"/>
      <protection locked="0"/>
    </xf>
    <xf numFmtId="0" fontId="0" fillId="15" borderId="0" xfId="0" applyFill="1" applyBorder="1" applyAlignment="1" applyProtection="1">
      <alignment horizontal="center"/>
      <protection locked="0"/>
    </xf>
    <xf numFmtId="49" fontId="1" fillId="15" borderId="0" xfId="0" applyNumberFormat="1" applyFont="1" applyFill="1" applyBorder="1" applyAlignment="1" applyProtection="1">
      <alignment horizontal="center"/>
      <protection locked="0"/>
    </xf>
    <xf numFmtId="0" fontId="1" fillId="15" borderId="0" xfId="0" applyNumberFormat="1" applyFont="1" applyFill="1" applyBorder="1" applyAlignment="1" applyProtection="1">
      <alignment horizontal="center"/>
      <protection locked="0"/>
    </xf>
    <xf numFmtId="0" fontId="8" fillId="15" borderId="0" xfId="0" applyNumberFormat="1" applyFont="1" applyFill="1" applyBorder="1" applyAlignment="1" applyProtection="1">
      <alignment horizontal="center" vertical="center"/>
      <protection locked="0"/>
    </xf>
    <xf numFmtId="0" fontId="0" fillId="15" borderId="0" xfId="0" applyFont="1" applyFill="1" applyBorder="1" applyAlignment="1">
      <alignment horizontal="center"/>
    </xf>
    <xf numFmtId="49" fontId="9" fillId="15" borderId="0" xfId="0" applyNumberFormat="1" applyFont="1" applyFill="1" applyBorder="1" applyAlignment="1" applyProtection="1">
      <alignment horizontal="center"/>
      <protection locked="0"/>
    </xf>
    <xf numFmtId="49" fontId="9" fillId="16" borderId="0" xfId="0" applyNumberFormat="1" applyFont="1" applyFill="1" applyBorder="1" applyAlignment="1" applyProtection="1">
      <alignment horizontal="center"/>
      <protection locked="0"/>
    </xf>
    <xf numFmtId="0" fontId="0" fillId="15" borderId="0" xfId="0" applyFill="1" applyBorder="1" applyProtection="1">
      <protection locked="0"/>
    </xf>
    <xf numFmtId="0" fontId="24" fillId="16" borderId="0" xfId="0" applyFont="1" applyFill="1" applyBorder="1" applyAlignment="1" applyProtection="1">
      <alignment horizontal="left" vertical="center"/>
      <protection locked="0"/>
    </xf>
    <xf numFmtId="0" fontId="24" fillId="16" borderId="0" xfId="0" applyFont="1" applyFill="1" applyBorder="1" applyAlignment="1" applyProtection="1">
      <alignment horizontal="center" vertical="center"/>
      <protection locked="0"/>
    </xf>
    <xf numFmtId="0" fontId="26" fillId="16" borderId="0" xfId="0" applyNumberFormat="1" applyFont="1" applyFill="1" applyBorder="1" applyAlignment="1" applyProtection="1">
      <alignment horizontal="center" vertical="center"/>
      <protection locked="0"/>
    </xf>
    <xf numFmtId="49" fontId="30" fillId="16" borderId="0" xfId="0" applyNumberFormat="1" applyFont="1" applyFill="1" applyBorder="1" applyAlignment="1" applyProtection="1">
      <alignment horizontal="center"/>
      <protection locked="0"/>
    </xf>
    <xf numFmtId="0" fontId="18" fillId="15" borderId="0" xfId="0" applyFont="1" applyFill="1" applyBorder="1" applyAlignment="1" applyProtection="1">
      <alignment horizontal="center" vertical="center"/>
      <protection locked="0"/>
    </xf>
    <xf numFmtId="49" fontId="18" fillId="15" borderId="0" xfId="0" applyNumberFormat="1" applyFont="1" applyFill="1" applyBorder="1" applyAlignment="1" applyProtection="1">
      <alignment horizontal="center"/>
      <protection locked="0"/>
    </xf>
    <xf numFmtId="0" fontId="18" fillId="16" borderId="0" xfId="0" applyFont="1" applyFill="1" applyBorder="1" applyAlignment="1" applyProtection="1">
      <alignment horizontal="center" vertical="center"/>
      <protection locked="0"/>
    </xf>
    <xf numFmtId="49" fontId="18" fillId="16" borderId="0" xfId="0" applyNumberFormat="1" applyFont="1" applyFill="1" applyBorder="1" applyAlignment="1" applyProtection="1">
      <alignment horizontal="center"/>
      <protection locked="0"/>
    </xf>
    <xf numFmtId="0" fontId="0" fillId="15" borderId="0" xfId="0" applyFill="1" applyBorder="1" applyAlignment="1" applyProtection="1">
      <alignment horizontal="right"/>
      <protection locked="0"/>
    </xf>
    <xf numFmtId="0" fontId="43" fillId="0" borderId="0" xfId="0" applyFont="1" applyAlignment="1" applyProtection="1">
      <alignment horizontal="center" vertical="center"/>
      <protection locked="0"/>
    </xf>
    <xf numFmtId="164" fontId="43" fillId="0" borderId="0" xfId="0" applyNumberFormat="1" applyFont="1" applyAlignment="1" applyProtection="1">
      <alignment horizontal="center" vertical="center"/>
      <protection locked="0"/>
    </xf>
    <xf numFmtId="0" fontId="43" fillId="16" borderId="0" xfId="0" applyFont="1" applyFill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NumberFormat="1" applyBorder="1" applyAlignment="1" applyProtection="1">
      <alignment horizontal="center"/>
      <protection locked="0"/>
    </xf>
    <xf numFmtId="0" fontId="44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15" borderId="0" xfId="0" applyFont="1" applyFill="1" applyBorder="1" applyAlignment="1">
      <alignment horizontal="center" vertical="center" wrapText="1"/>
    </xf>
    <xf numFmtId="0" fontId="1" fillId="16" borderId="0" xfId="0" applyFont="1" applyFill="1" applyBorder="1" applyAlignment="1">
      <alignment horizontal="center" vertical="center" wrapText="1"/>
    </xf>
    <xf numFmtId="0" fontId="0" fillId="0" borderId="0" xfId="0" applyAlignment="1" applyProtection="1">
      <alignment horizontal="center"/>
      <protection locked="0"/>
    </xf>
    <xf numFmtId="0" fontId="43" fillId="11" borderId="0" xfId="0" applyFont="1" applyFill="1" applyAlignment="1" applyProtection="1">
      <alignment horizontal="center" vertical="center"/>
      <protection locked="0"/>
    </xf>
    <xf numFmtId="0" fontId="43" fillId="17" borderId="0" xfId="0" applyFont="1" applyFill="1" applyAlignment="1" applyProtection="1">
      <alignment horizontal="center" vertical="center"/>
      <protection locked="0"/>
    </xf>
    <xf numFmtId="0" fontId="46" fillId="0" borderId="0" xfId="0" applyFont="1" applyFill="1" applyAlignment="1" applyProtection="1">
      <alignment horizontal="center" vertical="center"/>
      <protection locked="0"/>
    </xf>
    <xf numFmtId="14" fontId="0" fillId="0" borderId="0" xfId="0" applyNumberFormat="1" applyFill="1" applyBorder="1" applyAlignment="1" applyProtection="1">
      <alignment horizontal="left"/>
      <protection locked="0"/>
    </xf>
    <xf numFmtId="14" fontId="0" fillId="0" borderId="0" xfId="0" applyNumberFormat="1" applyFill="1" applyBorder="1" applyAlignment="1" applyProtection="1">
      <alignment horizontal="center" vertical="center"/>
      <protection locked="0"/>
    </xf>
    <xf numFmtId="14" fontId="0" fillId="0" borderId="0" xfId="0" applyNumberFormat="1" applyFill="1" applyBorder="1" applyAlignment="1" applyProtection="1">
      <alignment horizontal="center"/>
      <protection locked="0"/>
    </xf>
    <xf numFmtId="14" fontId="0" fillId="0" borderId="0" xfId="0" applyNumberFormat="1" applyFill="1" applyBorder="1" applyAlignment="1" applyProtection="1">
      <alignment horizontal="right"/>
      <protection locked="0"/>
    </xf>
    <xf numFmtId="0" fontId="41" fillId="0" borderId="1" xfId="0" applyFont="1" applyBorder="1" applyAlignment="1">
      <alignment horizontal="center"/>
    </xf>
    <xf numFmtId="0" fontId="41" fillId="16" borderId="1" xfId="0" applyFont="1" applyFill="1" applyBorder="1" applyAlignment="1">
      <alignment horizontal="center"/>
    </xf>
    <xf numFmtId="0" fontId="41" fillId="15" borderId="1" xfId="0" applyFont="1" applyFill="1" applyBorder="1" applyAlignment="1">
      <alignment horizontal="center"/>
    </xf>
    <xf numFmtId="0" fontId="0" fillId="16" borderId="1" xfId="0" applyFont="1" applyFill="1" applyBorder="1" applyAlignment="1">
      <alignment horizontal="center"/>
    </xf>
    <xf numFmtId="0" fontId="0" fillId="15" borderId="1" xfId="0" applyFont="1" applyFill="1" applyBorder="1" applyAlignment="1">
      <alignment horizontal="center"/>
    </xf>
    <xf numFmtId="0" fontId="45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4" fillId="16" borderId="0" xfId="0" applyFont="1" applyFill="1" applyBorder="1" applyAlignment="1">
      <alignment horizontal="center" vertical="center" wrapText="1"/>
    </xf>
    <xf numFmtId="14" fontId="0" fillId="3" borderId="0" xfId="0" applyNumberFormat="1" applyFill="1" applyBorder="1" applyAlignment="1" applyProtection="1">
      <alignment horizontal="left" vertical="center"/>
      <protection locked="0"/>
    </xf>
    <xf numFmtId="14" fontId="0" fillId="16" borderId="0" xfId="0" applyNumberFormat="1" applyFill="1" applyBorder="1" applyAlignment="1" applyProtection="1">
      <alignment horizontal="left" vertical="center"/>
      <protection locked="0"/>
    </xf>
    <xf numFmtId="0" fontId="47" fillId="0" borderId="0" xfId="0" applyFont="1" applyBorder="1" applyAlignment="1" applyProtection="1">
      <alignment horizontal="center"/>
      <protection locked="0"/>
    </xf>
    <xf numFmtId="0" fontId="48" fillId="0" borderId="0" xfId="0" applyFont="1" applyBorder="1" applyAlignment="1" applyProtection="1">
      <alignment horizontal="center"/>
      <protection locked="0"/>
    </xf>
    <xf numFmtId="0" fontId="2" fillId="2" borderId="0" xfId="0" applyFont="1" applyFill="1" applyBorder="1" applyAlignment="1">
      <alignment horizontal="center" vertical="center"/>
    </xf>
  </cellXfs>
  <cellStyles count="3">
    <cellStyle name="Collegamento ipertestuale" xfId="1" builtinId="8"/>
    <cellStyle name="Normale" xfId="0" builtinId="0"/>
    <cellStyle name="Normale 2" xfId="2"/>
  </cellStyles>
  <dxfs count="123"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19" formatCode="dd/mm/yyyy"/>
      <fill>
        <patternFill patternType="solid">
          <fgColor indexed="64"/>
          <bgColor theme="4" tint="0.59999389629810485"/>
        </patternFill>
      </fill>
      <alignment horizontal="right" vertical="bottom" textRotation="0" wrapText="0" indent="0" justifyLastLine="0" shrinkToFit="0" readingOrder="0"/>
      <protection locked="0" hidden="0"/>
    </dxf>
    <dxf>
      <numFmt numFmtId="19" formatCode="dd/mm/yyyy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protection locked="0" hidden="0"/>
    </dxf>
    <dxf>
      <numFmt numFmtId="19" formatCode="dd/mm/yyyy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protection locked="0" hidden="0"/>
    </dxf>
    <dxf>
      <numFmt numFmtId="19" formatCode="dd/mm/yyyy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protection locked="0" hidden="0"/>
    </dxf>
    <dxf>
      <numFmt numFmtId="19" formatCode="dd/mm/yyyy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protection locked="0" hidden="0"/>
    </dxf>
    <dxf>
      <numFmt numFmtId="19" formatCode="dd/mm/yyyy"/>
      <fill>
        <patternFill patternType="solid">
          <fgColor indexed="64"/>
          <bgColor theme="4" tint="0.59999389629810485"/>
        </patternFill>
      </fill>
      <alignment horizontal="left" vertical="center" textRotation="0" wrapText="0" indent="0" justifyLastLine="0" shrinkToFit="0" readingOrder="0"/>
      <protection locked="0" hidden="0"/>
    </dxf>
    <dxf>
      <numFmt numFmtId="19" formatCode="dd/mm/yyyy"/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protection locked="0" hidden="0"/>
    </dxf>
    <dxf>
      <numFmt numFmtId="19" formatCode="dd/mm/yyyy"/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protection locked="0" hidden="0"/>
    </dxf>
    <dxf>
      <protection locked="0" hidden="0"/>
    </dxf>
    <dxf>
      <numFmt numFmtId="19" formatCode="dd/mm/yyyy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protection locked="0" hidden="0"/>
    </dxf>
    <dxf>
      <numFmt numFmtId="19" formatCode="dd/mm/yyyy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protection locked="0" hidden="0"/>
    </dxf>
    <dxf>
      <numFmt numFmtId="19" formatCode="dd/mm/yyyy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protection locked="0" hidden="0"/>
    </dxf>
    <dxf>
      <numFmt numFmtId="19" formatCode="dd/mm/yyyy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protection locked="0" hidden="0"/>
    </dxf>
    <dxf>
      <numFmt numFmtId="19" formatCode="dd/mm/yyyy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  <name val="Calibri"/>
        <scheme val="minor"/>
      </font>
      <numFmt numFmtId="19" formatCode="dd/mm/yyyy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protection locked="0" hidden="0"/>
    </dxf>
    <dxf>
      <numFmt numFmtId="30" formatCode="@"/>
      <alignment horizontal="left" vertical="bottom" textRotation="0" wrapText="0" indent="0" justifyLastLine="0" shrinkToFit="0" readingOrder="0"/>
      <protection locked="0" hidden="0"/>
    </dxf>
    <dxf>
      <numFmt numFmtId="19" formatCode="dd/mm/yyyy"/>
      <alignment horizontal="center" vertical="center" textRotation="0" wrapText="0" indent="0" justifyLastLine="0" shrinkToFit="0" readingOrder="0"/>
      <protection locked="0" hidden="0"/>
    </dxf>
    <dxf>
      <numFmt numFmtId="19" formatCode="dd/mm/yyyy"/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numFmt numFmtId="19" formatCode="dd/mm/yyyy"/>
      <protection locked="0" hidden="0"/>
    </dxf>
    <dxf>
      <protection locked="0" hidden="0"/>
    </dxf>
    <dxf>
      <protection locked="0" hidden="0"/>
    </dxf>
    <dxf>
      <numFmt numFmtId="19" formatCode="dd/mm/yyyy"/>
      <protection locked="0" hidden="0"/>
    </dxf>
    <dxf>
      <protection locked="0" hidden="0"/>
    </dxf>
    <dxf>
      <numFmt numFmtId="19" formatCode="dd/mm/yyyy"/>
      <protection locked="0" hidden="0"/>
    </dxf>
    <dxf>
      <font>
        <sz val="12"/>
        <color theme="1" tint="0.34998626667073579"/>
        <name val="Antique Olive Compact"/>
        <scheme val="none"/>
      </font>
      <numFmt numFmtId="164" formatCode="dd/mm/yy;@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sz val="12"/>
        <color theme="1" tint="0.34998626667073579"/>
        <name val="Antique Olive Compact"/>
        <scheme val="none"/>
      </font>
      <numFmt numFmtId="164" formatCode="dd/mm/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alignment horizontal="center" vertical="bottom" indent="0" justifyLastLine="0" shrinkToFit="0" readingOrder="0"/>
      <protection locked="0" hidden="0"/>
    </dxf>
    <dxf>
      <numFmt numFmtId="0" formatCode="General"/>
      <alignment horizontal="center" vertical="bottom" indent="0" justifyLastLine="0" shrinkToFit="0" readingOrder="0"/>
      <protection locked="0" hidden="0"/>
    </dxf>
    <dxf>
      <alignment horizontal="center" vertical="bottom" indent="0" justifyLastLine="0" shrinkToFit="0" readingOrder="0"/>
      <protection locked="0" hidden="0"/>
    </dxf>
    <dxf>
      <alignment horizontal="center" vertical="bottom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indent="0" justifyLastLine="0" shrinkToFit="0" readingOrder="0"/>
      <protection locked="0" hidden="0"/>
    </dxf>
    <dxf>
      <alignment horizontal="center" vertical="bottom" wrapText="0" indent="0" justifyLastLine="0" shrinkToFit="0" readingOrder="0"/>
      <protection locked="0" hidden="0"/>
    </dxf>
    <dxf>
      <font>
        <b/>
        <sz val="8"/>
        <color theme="0" tint="-4.9989318521683403E-2"/>
      </font>
      <numFmt numFmtId="0" formatCode="General"/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protection locked="0" hidden="0"/>
    </dxf>
    <dxf>
      <numFmt numFmtId="19" formatCode="dd/mm/yyyy"/>
      <alignment horizontal="center" vertical="bottom" textRotation="0" wrapText="0" indent="0" justifyLastLine="0" shrinkToFit="0" readingOrder="0"/>
      <protection locked="0" hidden="0"/>
    </dxf>
    <dxf>
      <font>
        <sz val="12"/>
        <color theme="1" tint="0.34998626667073579"/>
        <name val="Antique Olive Compact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font>
        <sz val="12"/>
        <color auto="1"/>
        <name val="Arial Rounded MT Bold"/>
        <scheme val="none"/>
      </font>
      <numFmt numFmtId="30" formatCode="@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protection locked="0" hidden="0"/>
    </dxf>
    <dxf>
      <font>
        <sz val="12"/>
        <color auto="1"/>
        <name val="Arial Rounded MT Bold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protection locked="0" hidden="0"/>
    </dxf>
    <dxf>
      <font>
        <sz val="12"/>
        <color auto="1"/>
        <name val="Arial Rounded MT Bold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protection locked="0" hidden="0"/>
    </dxf>
    <dxf>
      <font>
        <sz val="12"/>
        <color auto="1"/>
        <name val="Arial Rounded MT Bold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protection locked="0" hidden="0"/>
    </dxf>
    <dxf>
      <font>
        <color auto="1"/>
      </font>
      <numFmt numFmtId="30" formatCode="@"/>
      <alignment horizontal="right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7"/>
        <color auto="1"/>
        <name val="Calibri"/>
        <scheme val="minor"/>
      </font>
      <fill>
        <patternFill patternType="solid">
          <fgColor indexed="64"/>
          <bgColor theme="4" tint="0.59999389629810485"/>
        </patternFill>
      </fill>
      <alignment horizontal="right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scheme val="minor"/>
      </font>
      <fill>
        <patternFill patternType="solid">
          <fgColor indexed="64"/>
          <bgColor rgb="FFE7F2DE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</dxfs>
  <tableStyles count="1" defaultTableStyle="TableStyleMedium2" defaultPivotStyle="PivotStyleLight16">
    <tableStyle name="PivotStyleLight16 2" table="0" count="11">
      <tableStyleElement type="headerRow" dxfId="122"/>
      <tableStyleElement type="totalRow" dxfId="121"/>
      <tableStyleElement type="firstRowStripe" dxfId="120"/>
      <tableStyleElement type="firstColumnStripe" dxfId="119"/>
      <tableStyleElement type="firstSubtotalColumn" dxfId="118"/>
      <tableStyleElement type="firstSubtotalRow" dxfId="117"/>
      <tableStyleElement type="secondSubtotalRow" dxfId="116"/>
      <tableStyleElement type="firstRowSubheading" dxfId="115"/>
      <tableStyleElement type="secondRowSubheading" dxfId="114"/>
      <tableStyleElement type="pageFieldLabels" dxfId="113"/>
      <tableStyleElement type="pageFieldValues" dxfId="112"/>
    </tableStyle>
  </tableStyles>
  <colors>
    <mruColors>
      <color rgb="FFCCD4DE"/>
      <color rgb="FFF5EDD7"/>
      <color rgb="FFFFFFCC"/>
      <color rgb="FFC8D3E2"/>
      <color rgb="FFC7DDF1"/>
      <color rgb="FFE6E8F2"/>
      <color rgb="FFF1F3E9"/>
      <color rgb="FFEFF1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microsoft.com/office/2007/relationships/slicerCache" Target="slicerCaches/slicerCache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4.xml"/><Relationship Id="rId5" Type="http://schemas.microsoft.com/office/2007/relationships/slicerCache" Target="slicerCaches/slicerCache3.xml"/><Relationship Id="rId10" Type="http://schemas.openxmlformats.org/officeDocument/2006/relationships/calcChain" Target="calcChain.xml"/><Relationship Id="rId4" Type="http://schemas.microsoft.com/office/2007/relationships/slicerCache" Target="slicerCaches/slicerCache2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68618</xdr:colOff>
      <xdr:row>1</xdr:row>
      <xdr:rowOff>62966</xdr:rowOff>
    </xdr:from>
    <xdr:to>
      <xdr:col>0</xdr:col>
      <xdr:colOff>2501618</xdr:colOff>
      <xdr:row>4</xdr:row>
      <xdr:rowOff>95250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9" name="       Ricoveri      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       Ricoveri     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618" y="1600573"/>
              <a:ext cx="2433000" cy="6738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 tabella. I filtri dei dati tabella sono supportati in Excel o versione successiva.
Se la forma è stata modificata in una versione precedente di Excel o se la cartella di lavoro è stata salvata in Excel 2007 o versioni precedenti, non sarà possibile usare il filtro dei dati.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56712</xdr:colOff>
      <xdr:row>0</xdr:row>
      <xdr:rowOff>879948</xdr:rowOff>
    </xdr:from>
    <xdr:to>
      <xdr:col>0</xdr:col>
      <xdr:colOff>2489712</xdr:colOff>
      <xdr:row>0</xdr:row>
      <xdr:rowOff>1500186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" name="COLORE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LOR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712" y="879948"/>
              <a:ext cx="2433000" cy="6202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 tabella. I filtri dei dati tabella sono supportati in Excel o versione successiva.
Se la forma è stata modificata in una versione precedente di Excel o se la cartella di lavoro è stata salvata in Excel 2007 o versioni precedenti, non sarà possibile usare il filtro dei dati.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56712</xdr:colOff>
      <xdr:row>0</xdr:row>
      <xdr:rowOff>230352</xdr:rowOff>
    </xdr:from>
    <xdr:to>
      <xdr:col>0</xdr:col>
      <xdr:colOff>2489712</xdr:colOff>
      <xdr:row>0</xdr:row>
      <xdr:rowOff>869156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1" name="       O. P.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       O. P.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712" y="230352"/>
              <a:ext cx="2433000" cy="6388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 tabella. I filtri dei dati tabella sono supportati in Excel o versione successiva.
Se la forma è stata modificata in una versione precedente di Excel o se la cartella di lavoro è stata salvata in Excel 2007 o versioni precedenti, non sarà possibile usare il filtro dei dati.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76199</xdr:colOff>
      <xdr:row>5</xdr:row>
      <xdr:rowOff>95250</xdr:rowOff>
    </xdr:from>
    <xdr:to>
      <xdr:col>0</xdr:col>
      <xdr:colOff>2512218</xdr:colOff>
      <xdr:row>23</xdr:row>
      <xdr:rowOff>122465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2" name="SITUAZIONE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TUAZION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199" y="2449286"/>
              <a:ext cx="2436019" cy="37011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 tabella. I filtri dei dati tabella sono supportati in Excel o versione successiva.
Se la forma è stata modificata in una versione precedente di Excel o se la cartella di lavoro è stata salvata in Excel 2007 o versioni precedenti, non sarà possibile usare il filtro dei dati.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FiltroDati_Ricoveri" sourceName="       Ricoveri      ">
  <extLst>
    <x:ext xmlns:x15="http://schemas.microsoft.com/office/spreadsheetml/2010/11/main" uri="{2F2917AC-EB37-4324-AD4E-5DD8C200BD13}">
      <x15:tableSlicerCache tableId="1" column="18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FiltroDati_COLORE" sourceName="COLORE">
  <extLst>
    <x:ext xmlns:x15="http://schemas.microsoft.com/office/spreadsheetml/2010/11/main" uri="{2F2917AC-EB37-4324-AD4E-5DD8C200BD13}">
      <x15:tableSlicerCache tableId="1" column="50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FiltroDati_O._P." sourceName="       O. P.">
  <extLst>
    <x:ext xmlns:x15="http://schemas.microsoft.com/office/spreadsheetml/2010/11/main" uri="{2F2917AC-EB37-4324-AD4E-5DD8C200BD13}">
      <x15:tableSlicerCache tableId="1" column="43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FiltroDati_SITUAZIONE" sourceName="SITUAZIONE">
  <extLst>
    <x:ext xmlns:x15="http://schemas.microsoft.com/office/spreadsheetml/2010/11/main" uri="{2F2917AC-EB37-4324-AD4E-5DD8C200BD13}">
      <x15:tableSlicerCache tableId="1" column="3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       Ricoveri      " cache="FiltroDati_Ricoveri" caption="Colonna1" rowHeight="216000"/>
  <slicer name="COLORE" cache="FiltroDati_COLORE" caption="COLORE" rowHeight="216000"/>
  <slicer name="       O. P." cache="FiltroDati_O._P." caption="       O. P." rowHeight="216000"/>
  <slicer name="SITUAZIONE" cache="FiltroDati_SITUAZIONE" caption="SITUAZIONE" columnCount="2" rowHeight="241300"/>
</slicers>
</file>

<file path=xl/tables/table1.xml><?xml version="1.0" encoding="utf-8"?>
<table xmlns="http://schemas.openxmlformats.org/spreadsheetml/2006/main" id="1" name="Tabella1" displayName="Tabella1" ref="B1:AZ654" totalsRowCount="1" headerRowDxfId="103" dataDxfId="102" totalsRowDxfId="101">
  <autoFilter ref="B1:AZ653"/>
  <sortState ref="B2:AZ653">
    <sortCondition ref="B1:B653"/>
  </sortState>
  <tableColumns count="51">
    <tableColumn id="2" name="ID." dataDxfId="100" totalsRowDxfId="50"/>
    <tableColumn id="4" name="ENTE ASSEGNATARIO" totalsRowFunction="count" dataDxfId="99" totalsRowDxfId="49"/>
    <tableColumn id="13" name="SEZIONE" totalsRowFunction="count" dataDxfId="98" totalsRowDxfId="48"/>
    <tableColumn id="3" name="SITUAZIONE" totalsRowFunction="count" dataDxfId="97" totalsRowDxfId="47"/>
    <tableColumn id="11" name="CASA COSTRUTTRICE" totalsRowFunction="count" dataDxfId="96" totalsRowDxfId="46"/>
    <tableColumn id="47" name="MODELLO" totalsRowFunction="count" dataDxfId="95" totalsRowDxfId="45"/>
    <tableColumn id="17" name="TG POL." totalsRowFunction="count" dataDxfId="94" totalsRowDxfId="44"/>
    <tableColumn id="16" name="TG CIVILE" totalsRowFunction="count" dataDxfId="93" totalsRowDxfId="43"/>
    <tableColumn id="14" name="TG ORIGINALE" dataDxfId="92" totalsRowDxfId="42"/>
    <tableColumn id="18" name="       Ricoveri      " totalsRowFunction="count" dataDxfId="91" totalsRowDxfId="41"/>
    <tableColumn id="45" name="IN CESSIONE TEMPORANEA DAL" totalsRowFunction="count" dataDxfId="90" totalsRowDxfId="40"/>
    <tableColumn id="50" name="COLORE" totalsRowFunction="count" dataDxfId="89" totalsRowDxfId="39"/>
    <tableColumn id="5" name="       Tetra" totalsRowFunction="count" dataDxfId="88" totalsRowDxfId="38"/>
    <tableColumn id="6" name="       Telepass" totalsRowFunction="count" dataDxfId="87" totalsRowDxfId="37"/>
    <tableColumn id="48" name="Telepass Seriale" dataDxfId="86" totalsRowDxfId="36"/>
    <tableColumn id="7" name="       Pn.Termici" totalsRowFunction="count" dataDxfId="85" totalsRowDxfId="35"/>
    <tableColumn id="9" name="Tipologia di Mezzo" totalsRowFunction="count" dataDxfId="84" totalsRowDxfId="34"/>
    <tableColumn id="10" name="       Fuel Card _x000a_       (non toccare)" totalsRowFunction="count" dataDxfId="83" totalsRowDxfId="33">
      <calculatedColumnFormula>IF(AND(OR(AK2=0,AK2=""),OR(AL2=0,AL2="")), "NO", "SI")</calculatedColumnFormula>
    </tableColumn>
    <tableColumn id="43" name="       O. P." totalsRowFunction="count" dataDxfId="82" totalsRowDxfId="32"/>
    <tableColumn id="19" name="       Disattiv. Tetra" totalsRowFunction="count" dataDxfId="81" totalsRowDxfId="31"/>
    <tableColumn id="44" name="            N°ISSI" totalsRowFunction="count" dataDxfId="80" totalsRowDxfId="30"/>
    <tableColumn id="33" name="I N I Z I O   RICOVERO DAL" totalsRowLabel="\" dataDxfId="79" totalsRowDxfId="29"/>
    <tableColumn id="34" name="AUTORIM. V.TIRRENO DAL" totalsRowFunction="count" dataDxfId="78" totalsRowDxfId="28"/>
    <tableColumn id="35" name="AUTORIM. V.TIRRENO - MOTIVAZIONE" totalsRowFunction="count" dataDxfId="77" totalsRowDxfId="27"/>
    <tableColumn id="36" name="DITTA ESTERNA DAL" totalsRowFunction="count" dataDxfId="76" totalsRowDxfId="26"/>
    <tableColumn id="37" name="DITTA ESTERNA - NOME" totalsRowFunction="count" dataDxfId="75" totalsRowDxfId="25"/>
    <tableColumn id="38" name="DITTA ESTERNA TIPOLOGIA" totalsRowFunction="count" dataDxfId="74" totalsRowDxfId="24"/>
    <tableColumn id="39" name="ALTRI LUOGHI DAL" totalsRowFunction="count" dataDxfId="73" totalsRowDxfId="23"/>
    <tableColumn id="40" name="ALTRI LUOGHI - POSIZIONE" totalsRowFunction="count" dataDxfId="72" totalsRowDxfId="22"/>
    <tableColumn id="41" name="ALTRI LUOGHI - MOTIVAZIONE" totalsRowFunction="count" dataDxfId="71" totalsRowDxfId="21"/>
    <tableColumn id="42" name="F I N E   RICOVERO DAL" totalsRowFunction="count" totalsRowDxfId="20"/>
    <tableColumn id="46" name="NOTE" totalsRowFunction="count" dataDxfId="70" totalsRowDxfId="19"/>
    <tableColumn id="51" name="PROPRIETÀ" totalsRowFunction="count" dataDxfId="69" totalsRowDxfId="18"/>
    <tableColumn id="49" name="CODICE D'IMPIEGO" totalsRowFunction="count" dataDxfId="68" totalsRowDxfId="17"/>
    <tableColumn id="20" name="Alimentazione" totalsRowFunction="count" dataDxfId="67" totalsRowDxfId="16"/>
    <tableColumn id="8" name="CODICE PAN _x000a_Fuel Card IP   _x000a_     (non toccare)" dataDxfId="66" totalsRowDxfId="15">
      <calculatedColumnFormula>VLOOKUP(Tabella1[[#This Row],[TG POL.]],#REF!,2,FALSE)</calculatedColumnFormula>
    </tableColumn>
    <tableColumn id="12" name="CODICE PAN _x000a_Fuel Card Q8  _x000a_      (non toccare)" dataDxfId="65" totalsRowDxfId="14">
      <calculatedColumnFormula>VLOOKUP(Tabella1[[#This Row],[TG POL.]],#REF!,2,FALSE)</calculatedColumnFormula>
    </tableColumn>
    <tableColumn id="21" name="Cod.Mod." totalsRowFunction="count" dataDxfId="64" totalsRowDxfId="13"/>
    <tableColumn id="22" name="Conto" totalsRowFunction="count" dataDxfId="63" totalsRowDxfId="12"/>
    <tableColumn id="23" name="Serb." totalsRowFunction="count" dataDxfId="62" totalsRowDxfId="11"/>
    <tableColumn id="24" name="Ente" totalsRowFunction="count" dataDxfId="61" totalsRowDxfId="10"/>
    <tableColumn id="25" name="Km       _x000a_ (non toccare)" totalsRowFunction="count" dataDxfId="60" totalsRowDxfId="9"/>
    <tableColumn id="15" name="Colonna1" dataDxfId="59" totalsRowDxfId="8"/>
    <tableColumn id="26" name="GARANZIA     TEMPO / KM" totalsRowFunction="count" dataDxfId="58" totalsRowDxfId="7"/>
    <tableColumn id="1" name="SCADENZA NOLEGGIO" dataDxfId="57" totalsRowDxfId="6"/>
    <tableColumn id="27" name="NUMERO VERDE" totalsRowFunction="count" dataDxfId="56" totalsRowDxfId="5"/>
    <tableColumn id="28" name="MODELLO PNEUMATICI" totalsRowFunction="count" dataDxfId="55" totalsRowDxfId="4"/>
    <tableColumn id="29" name="TERMICHE" totalsRowFunction="count" dataDxfId="54" totalsRowDxfId="3"/>
    <tableColumn id="30" name="N° TELAIO" totalsRowFunction="count" dataDxfId="53" totalsRowDxfId="2"/>
    <tableColumn id="31" name="DATA REVISIONE" totalsRowFunction="count" dataDxfId="52" totalsRowDxfId="1"/>
    <tableColumn id="32" name="CARTA CIRC.NE POLIZIA" totalsRowFunction="count" dataDxfId="51" totalsRow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\\Motopdc01\dati\incidenti%20stradali\CARTA%20CIRCOLAZIONE\C0382.pdf" TargetMode="External"/><Relationship Id="rId5" Type="http://schemas.microsoft.com/office/2007/relationships/slicer" Target="../slicers/slicer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674"/>
  <sheetViews>
    <sheetView tabSelected="1" zoomScale="70" zoomScaleNormal="70" workbookViewId="0">
      <pane xSplit="19" topLeftCell="T1" activePane="topRight" state="frozen"/>
      <selection pane="topRight" activeCell="AZ11" sqref="AZ11"/>
    </sheetView>
  </sheetViews>
  <sheetFormatPr defaultColWidth="3.7109375" defaultRowHeight="15.75" x14ac:dyDescent="0.25"/>
  <cols>
    <col min="1" max="1" width="38.28515625" style="43" customWidth="1"/>
    <col min="2" max="2" width="3.7109375" style="71" customWidth="1"/>
    <col min="3" max="3" width="25.5703125" style="79" customWidth="1"/>
    <col min="4" max="4" width="16.7109375" style="80" customWidth="1"/>
    <col min="5" max="5" width="22.28515625" style="42" customWidth="1"/>
    <col min="6" max="6" width="17.140625" customWidth="1"/>
    <col min="7" max="7" width="22.28515625" style="80" customWidth="1"/>
    <col min="8" max="8" width="15.7109375" style="80" customWidth="1"/>
    <col min="9" max="9" width="14.85546875" customWidth="1"/>
    <col min="10" max="10" width="14" style="80" customWidth="1"/>
    <col min="11" max="11" width="14.7109375" customWidth="1"/>
    <col min="12" max="12" width="23.140625" style="43" customWidth="1"/>
    <col min="13" max="13" width="23.140625" style="173" customWidth="1"/>
    <col min="14" max="14" width="3.28515625" style="173" customWidth="1"/>
    <col min="15" max="15" width="4.28515625" style="173" customWidth="1"/>
    <col min="16" max="16" width="16.28515625" style="173" customWidth="1"/>
    <col min="17" max="17" width="3.5703125" style="129" customWidth="1"/>
    <col min="18" max="18" width="16.5703125" style="80" customWidth="1"/>
    <col min="19" max="19" width="6.7109375" style="129" customWidth="1"/>
    <col min="20" max="20" width="4.85546875" customWidth="1"/>
    <col min="21" max="21" width="5.5703125" style="42" customWidth="1"/>
    <col min="22" max="22" width="10.7109375" style="42" customWidth="1"/>
    <col min="23" max="23" width="11.7109375" customWidth="1"/>
    <col min="24" max="24" width="14" style="80" customWidth="1"/>
    <col min="25" max="25" width="54.85546875" style="80" customWidth="1"/>
    <col min="26" max="26" width="22" style="80" customWidth="1"/>
    <col min="27" max="27" width="39.28515625" style="80" customWidth="1"/>
    <col min="28" max="28" width="15.7109375" style="80" customWidth="1"/>
    <col min="29" max="29" width="39.140625" style="44" customWidth="1"/>
    <col min="30" max="30" width="38.5703125" style="43" customWidth="1"/>
    <col min="31" max="31" width="33.7109375" style="45" customWidth="1"/>
    <col min="32" max="32" width="15.7109375" style="80" customWidth="1"/>
    <col min="33" max="33" width="18.28515625" style="43" bestFit="1" customWidth="1"/>
    <col min="34" max="34" width="23.140625" style="43" customWidth="1"/>
    <col min="35" max="35" width="54.42578125" style="43" bestFit="1" customWidth="1"/>
    <col min="36" max="36" width="15.7109375" style="142" customWidth="1"/>
    <col min="37" max="37" width="20.7109375" style="142" customWidth="1"/>
    <col min="38" max="38" width="24.28515625" style="142" customWidth="1"/>
    <col min="39" max="39" width="25.7109375" style="43" customWidth="1"/>
    <col min="40" max="40" width="15.7109375" style="42" customWidth="1"/>
    <col min="41" max="41" width="15.7109375" style="43" customWidth="1"/>
    <col min="42" max="42" width="15.7109375" style="42" customWidth="1"/>
    <col min="43" max="44" width="15.7109375" style="80" customWidth="1"/>
    <col min="45" max="45" width="54" style="43" customWidth="1"/>
    <col min="46" max="46" width="30.42578125" style="43" customWidth="1"/>
    <col min="47" max="47" width="32.28515625" style="80" customWidth="1"/>
    <col min="48" max="49" width="15.7109375" style="43" customWidth="1"/>
    <col min="50" max="50" width="26.42578125" style="43" bestFit="1" customWidth="1"/>
    <col min="51" max="51" width="15.7109375" style="47" customWidth="1"/>
    <col min="52" max="52" width="70" style="43" bestFit="1" customWidth="1"/>
    <col min="53" max="58" width="15.7109375" style="43" customWidth="1"/>
    <col min="60" max="60" width="15.7109375" style="43" customWidth="1"/>
    <col min="61" max="65" width="15.7109375" style="42" customWidth="1"/>
    <col min="66" max="66" width="15.7109375" style="43" customWidth="1"/>
    <col min="67" max="67" width="15.7109375" style="44" customWidth="1"/>
    <col min="68" max="69" width="15.7109375" style="43" customWidth="1"/>
    <col min="70" max="71" width="15.7109375" style="42" customWidth="1"/>
    <col min="72" max="73" width="15.7109375" style="43" customWidth="1"/>
    <col min="74" max="74" width="24.7109375" style="43" customWidth="1"/>
    <col min="75" max="75" width="15.7109375" style="69" customWidth="1"/>
    <col min="76" max="76" width="36.7109375" style="43" customWidth="1"/>
    <col min="77" max="80" width="16.5703125" style="43" customWidth="1"/>
    <col min="81" max="81" width="16.5703125" style="49" customWidth="1"/>
    <col min="82" max="82" width="23.85546875" style="43" bestFit="1" customWidth="1"/>
    <col min="83" max="83" width="16.5703125" style="42" customWidth="1"/>
    <col min="84" max="84" width="67.28515625" style="51" bestFit="1" customWidth="1"/>
    <col min="85" max="85" width="30.7109375" style="43" customWidth="1"/>
    <col min="86" max="86" width="12.7109375" style="49" customWidth="1"/>
    <col min="87" max="88" width="30.7109375" style="43" customWidth="1"/>
    <col min="89" max="89" width="12.7109375" style="49" customWidth="1"/>
    <col min="90" max="91" width="30.7109375" style="43" customWidth="1"/>
    <col min="92" max="92" width="12.7109375" style="43" customWidth="1"/>
    <col min="93" max="93" width="3.7109375" style="43"/>
    <col min="94" max="94" width="17.28515625" style="43" customWidth="1"/>
    <col min="95" max="95" width="39.85546875" style="43" customWidth="1"/>
    <col min="96" max="96" width="19" style="43" customWidth="1"/>
    <col min="97" max="97" width="14" style="43" customWidth="1"/>
    <col min="98" max="98" width="18.42578125" style="43" customWidth="1"/>
    <col min="99" max="99" width="16.28515625" style="43" bestFit="1" customWidth="1"/>
    <col min="100" max="100" width="12.7109375" style="43" bestFit="1" customWidth="1"/>
    <col min="101" max="16384" width="3.7109375" style="43"/>
  </cols>
  <sheetData>
    <row r="1" spans="1:89" s="59" customFormat="1" ht="121.5" customHeight="1" x14ac:dyDescent="0.25">
      <c r="A1" s="66" t="s">
        <v>587</v>
      </c>
      <c r="B1" s="34" t="s">
        <v>0</v>
      </c>
      <c r="C1" s="60" t="s">
        <v>586</v>
      </c>
      <c r="D1" s="34" t="s">
        <v>5</v>
      </c>
      <c r="E1" s="36" t="s">
        <v>23</v>
      </c>
      <c r="F1" s="34" t="s">
        <v>6</v>
      </c>
      <c r="G1" s="34" t="s">
        <v>7</v>
      </c>
      <c r="H1" s="36" t="s">
        <v>8</v>
      </c>
      <c r="I1" s="34" t="s">
        <v>573</v>
      </c>
      <c r="J1" s="34" t="s">
        <v>684</v>
      </c>
      <c r="K1" s="86" t="s">
        <v>9</v>
      </c>
      <c r="L1" s="68" t="s">
        <v>24</v>
      </c>
      <c r="M1" s="34" t="s">
        <v>4</v>
      </c>
      <c r="N1" s="33" t="s">
        <v>1</v>
      </c>
      <c r="O1" s="33" t="s">
        <v>2</v>
      </c>
      <c r="P1" s="36" t="s">
        <v>689</v>
      </c>
      <c r="Q1" s="33" t="s">
        <v>3</v>
      </c>
      <c r="R1" s="179" t="s">
        <v>666</v>
      </c>
      <c r="S1" s="70" t="s">
        <v>667</v>
      </c>
      <c r="T1" s="70" t="s">
        <v>580</v>
      </c>
      <c r="U1" s="61" t="s">
        <v>10</v>
      </c>
      <c r="V1" s="61" t="s">
        <v>687</v>
      </c>
      <c r="W1" s="52" t="s">
        <v>574</v>
      </c>
      <c r="X1" s="53" t="s">
        <v>576</v>
      </c>
      <c r="Y1" s="54" t="s">
        <v>582</v>
      </c>
      <c r="Z1" s="55" t="s">
        <v>577</v>
      </c>
      <c r="AA1" s="37" t="s">
        <v>583</v>
      </c>
      <c r="AB1" s="37" t="s">
        <v>578</v>
      </c>
      <c r="AC1" s="56" t="s">
        <v>579</v>
      </c>
      <c r="AD1" s="57" t="s">
        <v>585</v>
      </c>
      <c r="AE1" s="57" t="s">
        <v>584</v>
      </c>
      <c r="AF1" s="52" t="s">
        <v>575</v>
      </c>
      <c r="AG1" s="104" t="s">
        <v>581</v>
      </c>
      <c r="AH1" s="34" t="s">
        <v>441</v>
      </c>
      <c r="AI1" s="34" t="s">
        <v>589</v>
      </c>
      <c r="AJ1" s="137" t="s">
        <v>11</v>
      </c>
      <c r="AK1" s="137" t="s">
        <v>670</v>
      </c>
      <c r="AL1" s="137" t="s">
        <v>669</v>
      </c>
      <c r="AM1" s="35" t="s">
        <v>12</v>
      </c>
      <c r="AN1" s="35" t="s">
        <v>13</v>
      </c>
      <c r="AO1" s="35" t="s">
        <v>14</v>
      </c>
      <c r="AP1" s="35" t="s">
        <v>15</v>
      </c>
      <c r="AQ1" s="35" t="s">
        <v>668</v>
      </c>
      <c r="AR1" s="35" t="s">
        <v>686</v>
      </c>
      <c r="AS1" s="39" t="s">
        <v>16</v>
      </c>
      <c r="AT1" s="39" t="s">
        <v>642</v>
      </c>
      <c r="AU1" s="39" t="s">
        <v>17</v>
      </c>
      <c r="AV1" s="39" t="s">
        <v>18</v>
      </c>
      <c r="AW1" s="39" t="s">
        <v>19</v>
      </c>
      <c r="AX1" s="39" t="s">
        <v>20</v>
      </c>
      <c r="AY1" s="39" t="s">
        <v>21</v>
      </c>
      <c r="AZ1" s="39" t="s">
        <v>22</v>
      </c>
      <c r="BA1" s="38"/>
      <c r="BB1" s="38"/>
      <c r="BC1" s="38"/>
      <c r="BD1" s="58"/>
    </row>
    <row r="2" spans="1:89" x14ac:dyDescent="0.25">
      <c r="B2" s="89">
        <v>1</v>
      </c>
      <c r="C2" s="123" t="s">
        <v>31</v>
      </c>
      <c r="D2" s="47" t="s">
        <v>32</v>
      </c>
      <c r="E2" s="40" t="s">
        <v>45</v>
      </c>
      <c r="F2" s="43" t="s">
        <v>33</v>
      </c>
      <c r="G2" s="43" t="s">
        <v>34</v>
      </c>
      <c r="H2" s="41" t="s">
        <v>36</v>
      </c>
      <c r="I2" s="42" t="s">
        <v>35</v>
      </c>
      <c r="J2" s="42"/>
      <c r="K2" s="84" t="s">
        <v>659</v>
      </c>
      <c r="L2" s="45"/>
      <c r="M2" s="43" t="s">
        <v>30</v>
      </c>
      <c r="N2" s="42" t="s">
        <v>27</v>
      </c>
      <c r="O2" s="42" t="s">
        <v>28</v>
      </c>
      <c r="P2" s="228">
        <v>778980482</v>
      </c>
      <c r="Q2" s="42" t="s">
        <v>29</v>
      </c>
      <c r="R2" s="42" t="s">
        <v>665</v>
      </c>
      <c r="S2" s="42" t="e">
        <f t="shared" ref="S2:S65" si="0">IF(AND(OR(AK2=0,AK2=""),OR(AL2=0,AL2="")), "NO", "SI")</f>
        <v>#REF!</v>
      </c>
      <c r="T2" s="42"/>
      <c r="U2" s="67"/>
      <c r="V2" s="220">
        <v>3010426</v>
      </c>
      <c r="W2" s="48">
        <v>45700</v>
      </c>
      <c r="X2" s="49">
        <v>45700</v>
      </c>
      <c r="Y2" s="43" t="s">
        <v>595</v>
      </c>
      <c r="Z2" s="49"/>
      <c r="AA2" s="43"/>
      <c r="AB2" s="43"/>
      <c r="AC2" s="49"/>
      <c r="AE2" s="43"/>
      <c r="AF2" s="69"/>
      <c r="AH2" s="43" t="s">
        <v>25</v>
      </c>
      <c r="AI2" s="46" t="s">
        <v>26</v>
      </c>
      <c r="AJ2" s="138" t="s">
        <v>37</v>
      </c>
      <c r="AK2" s="138" t="e">
        <f>VLOOKUP(Tabella1[[#This Row],[TG POL.]],#REF!,2,FALSE)</f>
        <v>#REF!</v>
      </c>
      <c r="AL2" s="138" t="e">
        <f>VLOOKUP(Tabella1[[#This Row],[TG POL.]],#REF!,2,FALSE)</f>
        <v>#REF!</v>
      </c>
      <c r="AM2" s="42" t="s">
        <v>38</v>
      </c>
      <c r="AN2" s="42">
        <v>110</v>
      </c>
      <c r="AO2" s="42">
        <v>590</v>
      </c>
      <c r="AP2" s="42">
        <v>181120</v>
      </c>
      <c r="AQ2" s="43" t="e">
        <f>VLOOKUP(Tabella1[[#This Row],[TG POL.]],#REF!,10,FALSE)</f>
        <v>#REF!</v>
      </c>
      <c r="AR2" s="43"/>
      <c r="AS2" s="44" t="s">
        <v>39</v>
      </c>
      <c r="AT2" s="44"/>
      <c r="AU2" s="44" t="s">
        <v>40</v>
      </c>
      <c r="AV2" s="43" t="s">
        <v>41</v>
      </c>
      <c r="AW2" s="42" t="s">
        <v>42</v>
      </c>
      <c r="AX2" s="42" t="s">
        <v>43</v>
      </c>
      <c r="AY2" s="45">
        <v>46082</v>
      </c>
      <c r="AZ2" s="78" t="s">
        <v>44</v>
      </c>
      <c r="BG2" s="43"/>
      <c r="BI2" s="43"/>
      <c r="BJ2" s="43"/>
      <c r="BK2" s="43"/>
      <c r="BL2" s="43"/>
      <c r="BM2" s="43"/>
      <c r="BO2" s="43"/>
      <c r="BR2" s="43"/>
      <c r="BS2" s="43"/>
      <c r="BW2" s="43"/>
      <c r="CC2" s="43"/>
      <c r="CE2" s="43"/>
      <c r="CF2" s="43"/>
      <c r="CH2" s="43"/>
      <c r="CK2" s="43"/>
    </row>
    <row r="3" spans="1:89" x14ac:dyDescent="0.25">
      <c r="B3" s="88"/>
      <c r="C3" s="123"/>
      <c r="D3" s="47"/>
      <c r="E3" s="40"/>
      <c r="F3" s="43"/>
      <c r="G3" s="43"/>
      <c r="H3" s="41"/>
      <c r="I3" s="42"/>
      <c r="J3" s="42"/>
      <c r="K3" s="84"/>
      <c r="L3" s="45"/>
      <c r="M3" s="43"/>
      <c r="N3" s="42"/>
      <c r="O3" s="42"/>
      <c r="P3" s="229"/>
      <c r="Q3" s="42"/>
      <c r="R3" s="42"/>
      <c r="S3" s="42"/>
      <c r="T3" s="42"/>
      <c r="U3" s="67"/>
      <c r="V3" s="220"/>
      <c r="W3" s="48"/>
      <c r="X3" s="49"/>
      <c r="Y3" s="43"/>
      <c r="Z3" s="49"/>
      <c r="AA3" s="43"/>
      <c r="AB3" s="43"/>
      <c r="AC3" s="49"/>
      <c r="AE3" s="43"/>
      <c r="AF3" s="69"/>
      <c r="AI3" s="46"/>
      <c r="AJ3" s="138"/>
      <c r="AK3" s="138"/>
      <c r="AL3" s="138"/>
      <c r="AM3" s="42"/>
      <c r="AO3" s="42"/>
      <c r="AQ3" s="43"/>
      <c r="AR3" s="43"/>
      <c r="AS3" s="44"/>
      <c r="AT3" s="44"/>
      <c r="AU3" s="44"/>
      <c r="AW3" s="42"/>
      <c r="AX3" s="42"/>
      <c r="AY3" s="45"/>
      <c r="AZ3" s="78"/>
      <c r="BG3" s="43"/>
      <c r="BI3" s="43"/>
      <c r="BJ3" s="43"/>
      <c r="BK3" s="43"/>
      <c r="BL3" s="43"/>
      <c r="BM3" s="43"/>
      <c r="BO3" s="43"/>
      <c r="BR3" s="43"/>
      <c r="BS3" s="43"/>
      <c r="BW3" s="43"/>
      <c r="CC3" s="43"/>
      <c r="CE3" s="43"/>
      <c r="CF3" s="43"/>
      <c r="CH3" s="43"/>
      <c r="CK3" s="43"/>
    </row>
    <row r="4" spans="1:89" x14ac:dyDescent="0.25">
      <c r="B4" s="89"/>
      <c r="C4" s="123"/>
      <c r="D4" s="47"/>
      <c r="E4" s="40"/>
      <c r="F4" s="43"/>
      <c r="G4" s="43"/>
      <c r="H4" s="41"/>
      <c r="I4" s="42"/>
      <c r="J4" s="42"/>
      <c r="K4" s="84"/>
      <c r="L4" s="45"/>
      <c r="M4" s="43"/>
      <c r="N4" s="42"/>
      <c r="O4" s="42"/>
      <c r="P4" s="229"/>
      <c r="Q4" s="42"/>
      <c r="R4" s="42"/>
      <c r="S4" s="42"/>
      <c r="T4" s="42"/>
      <c r="U4" s="67"/>
      <c r="V4" s="220"/>
      <c r="W4" s="48"/>
      <c r="X4" s="49"/>
      <c r="Y4" s="49"/>
      <c r="Z4" s="49"/>
      <c r="AA4" s="43"/>
      <c r="AB4" s="43"/>
      <c r="AC4" s="49"/>
      <c r="AE4" s="43"/>
      <c r="AF4" s="69"/>
      <c r="AI4" s="46"/>
      <c r="AJ4" s="138"/>
      <c r="AK4" s="138"/>
      <c r="AL4" s="138"/>
      <c r="AM4" s="42"/>
      <c r="AO4" s="42"/>
      <c r="AQ4" s="43"/>
      <c r="AR4" s="43"/>
      <c r="AS4" s="44"/>
      <c r="AT4" s="44"/>
      <c r="AU4" s="44"/>
      <c r="AW4" s="42"/>
      <c r="AX4" s="42"/>
      <c r="AY4" s="45"/>
      <c r="AZ4" s="47"/>
      <c r="BG4" s="43"/>
      <c r="BI4" s="43"/>
      <c r="BJ4" s="43"/>
      <c r="BK4" s="43"/>
      <c r="BL4" s="43"/>
      <c r="BM4" s="43"/>
      <c r="BO4" s="43"/>
      <c r="BR4" s="43"/>
      <c r="BS4" s="43"/>
      <c r="BW4" s="43"/>
      <c r="CC4" s="43"/>
      <c r="CE4" s="43"/>
      <c r="CF4" s="43"/>
      <c r="CH4" s="43"/>
      <c r="CK4" s="43"/>
    </row>
    <row r="5" spans="1:89" x14ac:dyDescent="0.25">
      <c r="B5" s="89"/>
      <c r="C5" s="123"/>
      <c r="D5" s="47"/>
      <c r="E5" s="40"/>
      <c r="F5" s="43"/>
      <c r="G5" s="43"/>
      <c r="H5" s="41"/>
      <c r="I5" s="42"/>
      <c r="J5" s="42"/>
      <c r="K5" s="84"/>
      <c r="L5" s="45"/>
      <c r="M5" s="43"/>
      <c r="N5" s="42"/>
      <c r="O5" s="42"/>
      <c r="P5" s="229"/>
      <c r="Q5" s="42"/>
      <c r="R5" s="42"/>
      <c r="S5" s="42"/>
      <c r="T5" s="42"/>
      <c r="U5" s="67"/>
      <c r="V5" s="220"/>
      <c r="W5" s="49"/>
      <c r="X5" s="49"/>
      <c r="Y5" s="49"/>
      <c r="Z5" s="49"/>
      <c r="AA5" s="43"/>
      <c r="AB5" s="43"/>
      <c r="AC5" s="49"/>
      <c r="AE5" s="43"/>
      <c r="AF5" s="69"/>
      <c r="AI5" s="46"/>
      <c r="AJ5" s="138"/>
      <c r="AK5" s="138"/>
      <c r="AL5" s="138"/>
      <c r="AM5" s="42"/>
      <c r="AO5" s="42"/>
      <c r="AQ5" s="43"/>
      <c r="AR5" s="43"/>
      <c r="AS5" s="44"/>
      <c r="AT5" s="44"/>
      <c r="AU5" s="44"/>
      <c r="AW5" s="42"/>
      <c r="AX5" s="42"/>
      <c r="AY5" s="45"/>
      <c r="AZ5" s="78"/>
      <c r="BG5" s="43"/>
      <c r="BI5" s="43"/>
      <c r="BJ5" s="43"/>
      <c r="BK5" s="43"/>
      <c r="BL5" s="43"/>
      <c r="BM5" s="43"/>
      <c r="BO5" s="43"/>
      <c r="BR5" s="43"/>
      <c r="BS5" s="43"/>
      <c r="BW5" s="43"/>
      <c r="CC5" s="43"/>
      <c r="CE5" s="43"/>
      <c r="CF5" s="43"/>
      <c r="CH5" s="43"/>
      <c r="CK5" s="43"/>
    </row>
    <row r="6" spans="1:89" x14ac:dyDescent="0.25">
      <c r="B6" s="89"/>
      <c r="C6" s="123"/>
      <c r="D6" s="47"/>
      <c r="E6" s="40"/>
      <c r="F6" s="43"/>
      <c r="G6" s="43"/>
      <c r="H6" s="41"/>
      <c r="I6" s="42"/>
      <c r="J6" s="42"/>
      <c r="K6" s="84"/>
      <c r="L6" s="45"/>
      <c r="M6" s="43"/>
      <c r="N6" s="42"/>
      <c r="O6" s="42"/>
      <c r="P6" s="229"/>
      <c r="Q6" s="42"/>
      <c r="R6" s="42"/>
      <c r="S6" s="42"/>
      <c r="T6" s="42"/>
      <c r="U6" s="67"/>
      <c r="V6" s="220"/>
      <c r="W6" s="48"/>
      <c r="X6" s="49"/>
      <c r="Y6" s="43"/>
      <c r="Z6" s="49"/>
      <c r="AA6" s="43"/>
      <c r="AB6" s="43"/>
      <c r="AC6" s="49"/>
      <c r="AE6" s="43"/>
      <c r="AF6" s="69"/>
      <c r="AI6" s="46"/>
      <c r="AJ6" s="138"/>
      <c r="AK6" s="138"/>
      <c r="AL6" s="138"/>
      <c r="AM6" s="42"/>
      <c r="AO6" s="42"/>
      <c r="AQ6" s="43"/>
      <c r="AR6" s="43"/>
      <c r="AS6" s="44"/>
      <c r="AT6" s="44"/>
      <c r="AU6" s="44"/>
      <c r="AW6" s="42"/>
      <c r="AX6" s="42"/>
      <c r="AY6" s="45"/>
      <c r="AZ6" s="47"/>
      <c r="BG6" s="43"/>
      <c r="BI6" s="43"/>
      <c r="BJ6" s="43"/>
      <c r="BK6" s="43"/>
      <c r="BL6" s="43"/>
      <c r="BM6" s="43"/>
      <c r="BO6" s="43"/>
      <c r="BR6" s="43"/>
      <c r="BS6" s="43"/>
      <c r="BW6" s="43"/>
      <c r="CC6" s="43"/>
      <c r="CE6" s="43"/>
      <c r="CF6" s="43"/>
      <c r="CH6" s="43"/>
      <c r="CK6" s="43"/>
    </row>
    <row r="7" spans="1:89" x14ac:dyDescent="0.25">
      <c r="B7" s="89"/>
      <c r="C7" s="123"/>
      <c r="D7" s="47"/>
      <c r="E7" s="40"/>
      <c r="F7" s="43"/>
      <c r="G7" s="43"/>
      <c r="H7" s="41"/>
      <c r="I7" s="42"/>
      <c r="J7" s="42"/>
      <c r="K7" s="84"/>
      <c r="L7" s="45"/>
      <c r="M7" s="43"/>
      <c r="N7" s="42"/>
      <c r="O7" s="42"/>
      <c r="P7" s="229"/>
      <c r="Q7" s="42"/>
      <c r="R7" s="42"/>
      <c r="S7" s="42"/>
      <c r="T7" s="42"/>
      <c r="U7" s="67"/>
      <c r="V7" s="220"/>
      <c r="W7" s="48"/>
      <c r="X7" s="49"/>
      <c r="Y7" s="43"/>
      <c r="Z7" s="49"/>
      <c r="AA7" s="43"/>
      <c r="AB7" s="43"/>
      <c r="AC7" s="49"/>
      <c r="AE7" s="43"/>
      <c r="AF7" s="69"/>
      <c r="AI7" s="46"/>
      <c r="AJ7" s="138"/>
      <c r="AK7" s="138"/>
      <c r="AL7" s="138"/>
      <c r="AM7" s="42"/>
      <c r="AO7" s="42"/>
      <c r="AQ7" s="43"/>
      <c r="AR7" s="43"/>
      <c r="AS7" s="44"/>
      <c r="AT7" s="44"/>
      <c r="AU7" s="44"/>
      <c r="AW7" s="42"/>
      <c r="AX7" s="42"/>
      <c r="AY7" s="45"/>
      <c r="AZ7" s="78"/>
      <c r="BG7" s="43"/>
      <c r="BI7" s="43"/>
      <c r="BJ7" s="43"/>
      <c r="BK7" s="43"/>
      <c r="BL7" s="43"/>
      <c r="BM7" s="43"/>
      <c r="BO7" s="43"/>
      <c r="BR7" s="43"/>
      <c r="BS7" s="43"/>
      <c r="BW7" s="43"/>
      <c r="CC7" s="43"/>
      <c r="CE7" s="43"/>
      <c r="CF7" s="43"/>
      <c r="CH7" s="43"/>
      <c r="CK7" s="43"/>
    </row>
    <row r="8" spans="1:89" x14ac:dyDescent="0.25">
      <c r="B8" s="89"/>
      <c r="C8" s="123"/>
      <c r="D8" s="47"/>
      <c r="E8" s="40"/>
      <c r="F8" s="43"/>
      <c r="G8" s="43"/>
      <c r="H8" s="41"/>
      <c r="I8" s="42"/>
      <c r="J8" s="42"/>
      <c r="K8" s="84"/>
      <c r="L8" s="45"/>
      <c r="M8" s="43"/>
      <c r="N8" s="42"/>
      <c r="O8" s="42"/>
      <c r="P8" s="229"/>
      <c r="Q8" s="42"/>
      <c r="R8" s="42"/>
      <c r="S8" s="42"/>
      <c r="T8" s="42"/>
      <c r="U8" s="67"/>
      <c r="V8" s="220"/>
      <c r="W8" s="48"/>
      <c r="X8" s="49"/>
      <c r="Y8" s="43"/>
      <c r="Z8" s="49"/>
      <c r="AA8" s="43"/>
      <c r="AB8" s="43"/>
      <c r="AC8" s="49"/>
      <c r="AE8" s="43"/>
      <c r="AF8" s="69"/>
      <c r="AI8" s="46"/>
      <c r="AJ8" s="138"/>
      <c r="AK8" s="138"/>
      <c r="AL8" s="138"/>
      <c r="AM8" s="42"/>
      <c r="AO8" s="42"/>
      <c r="AQ8" s="43"/>
      <c r="AR8" s="43"/>
      <c r="AS8" s="44"/>
      <c r="AT8" s="44"/>
      <c r="AU8" s="44"/>
      <c r="AW8" s="42"/>
      <c r="AX8" s="42"/>
      <c r="AY8" s="45"/>
      <c r="AZ8" s="47"/>
      <c r="BG8" s="43"/>
      <c r="BI8" s="43"/>
      <c r="BJ8" s="43"/>
      <c r="BK8" s="43"/>
      <c r="BL8" s="43"/>
      <c r="BM8" s="43"/>
      <c r="BO8" s="43"/>
      <c r="BR8" s="43"/>
      <c r="BS8" s="43"/>
      <c r="BW8" s="43"/>
      <c r="CC8" s="43"/>
      <c r="CE8" s="43"/>
      <c r="CF8" s="43"/>
      <c r="CH8" s="43"/>
      <c r="CK8" s="43"/>
    </row>
    <row r="9" spans="1:89" x14ac:dyDescent="0.25">
      <c r="B9" s="89"/>
      <c r="C9" s="123"/>
      <c r="D9" s="47"/>
      <c r="E9" s="40"/>
      <c r="F9" s="43"/>
      <c r="G9" s="43"/>
      <c r="H9" s="41"/>
      <c r="I9" s="42"/>
      <c r="J9" s="42"/>
      <c r="K9" s="84"/>
      <c r="L9" s="45"/>
      <c r="M9" s="43"/>
      <c r="N9" s="42"/>
      <c r="O9" s="42"/>
      <c r="P9" s="223"/>
      <c r="Q9" s="42"/>
      <c r="R9" s="42"/>
      <c r="S9" s="42"/>
      <c r="T9" s="42"/>
      <c r="U9" s="67"/>
      <c r="V9" s="220"/>
      <c r="W9" s="48"/>
      <c r="X9" s="49"/>
      <c r="Y9" s="43"/>
      <c r="Z9" s="49"/>
      <c r="AA9" s="43"/>
      <c r="AB9" s="43"/>
      <c r="AC9" s="49"/>
      <c r="AE9" s="43"/>
      <c r="AF9" s="69"/>
      <c r="AI9" s="46"/>
      <c r="AJ9" s="138"/>
      <c r="AK9" s="138"/>
      <c r="AL9" s="138"/>
      <c r="AM9" s="42"/>
      <c r="AO9" s="42"/>
      <c r="AQ9" s="43"/>
      <c r="AR9" s="43"/>
      <c r="AS9" s="44"/>
      <c r="AT9" s="44"/>
      <c r="AU9" s="44"/>
      <c r="AW9" s="42"/>
      <c r="AX9" s="42"/>
      <c r="AY9" s="45"/>
      <c r="AZ9" s="47"/>
      <c r="BG9" s="43"/>
      <c r="BI9" s="43"/>
      <c r="BJ9" s="43"/>
      <c r="BK9" s="43"/>
      <c r="BL9" s="43"/>
      <c r="BM9" s="43"/>
      <c r="BO9" s="43"/>
      <c r="BR9" s="43"/>
      <c r="BS9" s="43"/>
      <c r="BW9" s="43"/>
      <c r="CC9" s="43"/>
      <c r="CE9" s="43"/>
      <c r="CF9" s="43"/>
      <c r="CH9" s="43"/>
      <c r="CK9" s="43"/>
    </row>
    <row r="10" spans="1:89" x14ac:dyDescent="0.25">
      <c r="B10" s="89"/>
      <c r="C10" s="123"/>
      <c r="D10" s="47"/>
      <c r="E10" s="40"/>
      <c r="F10" s="43"/>
      <c r="G10" s="43"/>
      <c r="H10" s="41"/>
      <c r="I10" s="42"/>
      <c r="J10" s="42"/>
      <c r="K10" s="84"/>
      <c r="L10" s="45"/>
      <c r="M10" s="43"/>
      <c r="N10" s="42"/>
      <c r="O10" s="42"/>
      <c r="P10" s="223"/>
      <c r="Q10" s="42"/>
      <c r="R10" s="42"/>
      <c r="S10" s="42"/>
      <c r="T10" s="42"/>
      <c r="U10" s="67"/>
      <c r="V10" s="220"/>
      <c r="W10" s="48"/>
      <c r="X10" s="49"/>
      <c r="Y10" s="43"/>
      <c r="Z10" s="49"/>
      <c r="AA10" s="43"/>
      <c r="AB10" s="43"/>
      <c r="AC10" s="49"/>
      <c r="AE10" s="43"/>
      <c r="AF10" s="69"/>
      <c r="AI10" s="46"/>
      <c r="AJ10" s="138"/>
      <c r="AK10" s="138"/>
      <c r="AL10" s="138"/>
      <c r="AM10" s="42"/>
      <c r="AO10" s="42"/>
      <c r="AQ10" s="43"/>
      <c r="AR10" s="43"/>
      <c r="AS10" s="44"/>
      <c r="AT10" s="44"/>
      <c r="AU10" s="44"/>
      <c r="AW10" s="42"/>
      <c r="AX10" s="42"/>
      <c r="AY10" s="45"/>
      <c r="AZ10" s="47"/>
      <c r="BG10" s="43"/>
      <c r="BI10" s="43"/>
      <c r="BJ10" s="43"/>
      <c r="BK10" s="43"/>
      <c r="BL10" s="43"/>
      <c r="BM10" s="43"/>
      <c r="BO10" s="43"/>
      <c r="BR10" s="43"/>
      <c r="BS10" s="43"/>
      <c r="BW10" s="43"/>
      <c r="CC10" s="43"/>
      <c r="CE10" s="43"/>
      <c r="CF10" s="43"/>
      <c r="CH10" s="43"/>
      <c r="CK10" s="43"/>
    </row>
    <row r="11" spans="1:89" x14ac:dyDescent="0.25">
      <c r="B11" s="89"/>
      <c r="C11" s="123"/>
      <c r="D11" s="47"/>
      <c r="E11" s="40"/>
      <c r="F11" s="43"/>
      <c r="G11" s="43"/>
      <c r="H11" s="41"/>
      <c r="I11" s="42"/>
      <c r="J11" s="42"/>
      <c r="K11" s="84"/>
      <c r="L11" s="45"/>
      <c r="M11" s="43"/>
      <c r="N11" s="42"/>
      <c r="O11" s="42"/>
      <c r="P11" s="223"/>
      <c r="Q11" s="42"/>
      <c r="R11" s="42"/>
      <c r="S11" s="42"/>
      <c r="T11" s="42"/>
      <c r="U11" s="67"/>
      <c r="V11" s="220"/>
      <c r="W11" s="48"/>
      <c r="X11" s="49"/>
      <c r="Y11" s="43"/>
      <c r="Z11" s="49"/>
      <c r="AA11" s="43"/>
      <c r="AB11" s="43"/>
      <c r="AC11" s="49"/>
      <c r="AE11" s="43"/>
      <c r="AF11" s="69"/>
      <c r="AI11" s="46"/>
      <c r="AJ11" s="138"/>
      <c r="AK11" s="138"/>
      <c r="AL11" s="138"/>
      <c r="AM11" s="42"/>
      <c r="AO11" s="42"/>
      <c r="AQ11" s="43"/>
      <c r="AR11" s="43"/>
      <c r="AS11" s="44"/>
      <c r="AT11" s="44"/>
      <c r="AU11" s="44"/>
      <c r="AW11" s="42"/>
      <c r="AX11" s="42"/>
      <c r="AY11" s="45"/>
      <c r="AZ11" s="47"/>
      <c r="BG11" s="43"/>
      <c r="BI11" s="43"/>
      <c r="BJ11" s="43"/>
      <c r="BK11" s="43"/>
      <c r="BL11" s="43"/>
      <c r="BM11" s="43"/>
      <c r="BO11" s="43"/>
      <c r="BR11" s="43"/>
      <c r="BS11" s="43"/>
      <c r="BW11" s="43"/>
      <c r="CC11" s="43"/>
      <c r="CE11" s="43"/>
      <c r="CF11" s="43"/>
      <c r="CH11" s="43"/>
      <c r="CK11" s="43"/>
    </row>
    <row r="12" spans="1:89" x14ac:dyDescent="0.25">
      <c r="B12" s="89"/>
      <c r="C12" s="123"/>
      <c r="D12" s="47"/>
      <c r="E12" s="40"/>
      <c r="F12" s="43"/>
      <c r="G12" s="43"/>
      <c r="H12" s="41"/>
      <c r="I12" s="42"/>
      <c r="J12" s="42"/>
      <c r="K12" s="84"/>
      <c r="L12" s="45"/>
      <c r="M12" s="43"/>
      <c r="N12" s="42"/>
      <c r="O12" s="42"/>
      <c r="P12" s="223"/>
      <c r="Q12" s="42"/>
      <c r="R12" s="42"/>
      <c r="S12" s="42"/>
      <c r="T12" s="42"/>
      <c r="U12" s="67"/>
      <c r="V12" s="220"/>
      <c r="W12" s="48"/>
      <c r="X12" s="49"/>
      <c r="Y12" s="43"/>
      <c r="Z12" s="49"/>
      <c r="AA12" s="43"/>
      <c r="AB12" s="43"/>
      <c r="AC12" s="49"/>
      <c r="AE12" s="43"/>
      <c r="AF12" s="69"/>
      <c r="AI12" s="46"/>
      <c r="AJ12" s="138"/>
      <c r="AK12" s="138"/>
      <c r="AL12" s="138"/>
      <c r="AM12" s="42"/>
      <c r="AO12" s="42"/>
      <c r="AQ12" s="43"/>
      <c r="AR12" s="43"/>
      <c r="AS12" s="44"/>
      <c r="AT12" s="44"/>
      <c r="AU12" s="44"/>
      <c r="AW12" s="42"/>
      <c r="AX12" s="42"/>
      <c r="AY12" s="45"/>
      <c r="AZ12" s="47"/>
      <c r="BG12" s="43"/>
      <c r="BI12" s="43"/>
      <c r="BJ12" s="43"/>
      <c r="BK12" s="43"/>
      <c r="BL12" s="43"/>
      <c r="BM12" s="43"/>
      <c r="BO12" s="43"/>
      <c r="BR12" s="43"/>
      <c r="BS12" s="43"/>
      <c r="BW12" s="43"/>
      <c r="CC12" s="43"/>
      <c r="CE12" s="43"/>
      <c r="CF12" s="43"/>
      <c r="CH12" s="43"/>
      <c r="CK12" s="43"/>
    </row>
    <row r="13" spans="1:89" x14ac:dyDescent="0.25">
      <c r="B13" s="89"/>
      <c r="C13" s="123"/>
      <c r="D13" s="47"/>
      <c r="E13" s="40"/>
      <c r="F13" s="43"/>
      <c r="G13" s="43"/>
      <c r="H13" s="41"/>
      <c r="I13" s="42"/>
      <c r="J13" s="42"/>
      <c r="K13" s="84"/>
      <c r="L13" s="45"/>
      <c r="M13" s="43"/>
      <c r="N13" s="42"/>
      <c r="O13" s="42"/>
      <c r="P13" s="223"/>
      <c r="Q13" s="42"/>
      <c r="R13" s="42"/>
      <c r="S13" s="42"/>
      <c r="T13" s="42"/>
      <c r="U13" s="67"/>
      <c r="V13" s="220"/>
      <c r="W13" s="48"/>
      <c r="X13" s="49"/>
      <c r="Y13" s="43"/>
      <c r="Z13" s="49"/>
      <c r="AA13" s="43"/>
      <c r="AB13" s="43"/>
      <c r="AC13" s="49"/>
      <c r="AE13" s="43"/>
      <c r="AF13" s="69"/>
      <c r="AI13" s="46"/>
      <c r="AJ13" s="138"/>
      <c r="AK13" s="138"/>
      <c r="AL13" s="138"/>
      <c r="AM13" s="42"/>
      <c r="AO13" s="42"/>
      <c r="AQ13" s="43"/>
      <c r="AR13" s="43"/>
      <c r="AS13" s="44"/>
      <c r="AT13" s="44"/>
      <c r="AU13" s="44"/>
      <c r="AW13" s="42"/>
      <c r="AX13" s="42"/>
      <c r="AY13" s="45"/>
      <c r="AZ13" s="47"/>
      <c r="BG13" s="43"/>
      <c r="BI13" s="43"/>
      <c r="BJ13" s="43"/>
      <c r="BK13" s="43"/>
      <c r="BL13" s="43"/>
      <c r="BM13" s="43"/>
      <c r="BO13" s="43"/>
      <c r="BR13" s="43"/>
      <c r="BS13" s="43"/>
      <c r="BW13" s="43"/>
      <c r="CC13" s="43"/>
      <c r="CE13" s="43"/>
      <c r="CF13" s="43"/>
      <c r="CH13" s="43"/>
      <c r="CK13" s="43"/>
    </row>
    <row r="14" spans="1:89" x14ac:dyDescent="0.25">
      <c r="B14" s="89"/>
      <c r="C14" s="124"/>
      <c r="D14" s="47"/>
      <c r="E14" s="40"/>
      <c r="F14" s="43"/>
      <c r="G14" s="43"/>
      <c r="H14" s="41"/>
      <c r="I14" s="42"/>
      <c r="J14" s="42"/>
      <c r="K14" s="84"/>
      <c r="L14" s="45"/>
      <c r="M14" s="43"/>
      <c r="N14" s="42"/>
      <c r="O14" s="42"/>
      <c r="P14" s="223"/>
      <c r="Q14" s="42"/>
      <c r="R14" s="42"/>
      <c r="S14" s="42"/>
      <c r="T14" s="42"/>
      <c r="U14" s="67"/>
      <c r="V14" s="220"/>
      <c r="W14" s="48"/>
      <c r="X14" s="49"/>
      <c r="Y14" s="43"/>
      <c r="Z14" s="49"/>
      <c r="AA14" s="43"/>
      <c r="AB14" s="43"/>
      <c r="AC14" s="49"/>
      <c r="AE14" s="43"/>
      <c r="AF14" s="69"/>
      <c r="AI14" s="46"/>
      <c r="AJ14" s="138"/>
      <c r="AK14" s="138"/>
      <c r="AL14" s="138"/>
      <c r="AM14" s="42"/>
      <c r="AO14" s="42"/>
      <c r="AQ14" s="43"/>
      <c r="AR14" s="43"/>
      <c r="AS14" s="44"/>
      <c r="AT14" s="44"/>
      <c r="AU14" s="44"/>
      <c r="AW14" s="42"/>
      <c r="AX14" s="42"/>
      <c r="AY14" s="45"/>
      <c r="AZ14" s="47"/>
      <c r="BG14" s="43"/>
      <c r="BI14" s="43"/>
      <c r="BJ14" s="43"/>
      <c r="BK14" s="43"/>
      <c r="BL14" s="43"/>
      <c r="BM14" s="43"/>
      <c r="BO14" s="43"/>
      <c r="BR14" s="43"/>
      <c r="BS14" s="43"/>
      <c r="BW14" s="43"/>
      <c r="CC14" s="43"/>
      <c r="CE14" s="43"/>
      <c r="CF14" s="43"/>
      <c r="CH14" s="43"/>
      <c r="CK14" s="43"/>
    </row>
    <row r="15" spans="1:89" x14ac:dyDescent="0.25">
      <c r="B15" s="194"/>
      <c r="C15" s="123"/>
      <c r="D15" s="47"/>
      <c r="E15" s="40"/>
      <c r="F15" s="111"/>
      <c r="G15" s="111"/>
      <c r="H15" s="41"/>
      <c r="I15" s="113"/>
      <c r="J15" s="42"/>
      <c r="K15" s="84"/>
      <c r="L15" s="45"/>
      <c r="M15" s="43"/>
      <c r="N15" s="42"/>
      <c r="O15" s="42"/>
      <c r="P15" s="42"/>
      <c r="Q15" s="42"/>
      <c r="R15" s="42"/>
      <c r="S15" s="227"/>
      <c r="T15" s="42"/>
      <c r="U15" s="196"/>
      <c r="V15" s="221"/>
      <c r="W15" s="48"/>
      <c r="X15" s="49"/>
      <c r="Y15" s="43"/>
      <c r="Z15" s="49"/>
      <c r="AA15" s="43"/>
      <c r="AB15" s="43"/>
      <c r="AC15" s="49"/>
      <c r="AE15" s="43"/>
      <c r="AF15" s="69"/>
      <c r="AG15" s="69"/>
      <c r="AI15" s="46"/>
      <c r="AJ15" s="138"/>
      <c r="AK15" s="198"/>
      <c r="AL15" s="198"/>
      <c r="AM15" s="74"/>
      <c r="AN15" s="74"/>
      <c r="AO15" s="74"/>
      <c r="AP15" s="74"/>
      <c r="AQ15" s="81"/>
      <c r="AR15" s="81"/>
      <c r="AS15" s="44"/>
      <c r="AT15" s="82"/>
      <c r="AU15" s="44"/>
      <c r="AV15" s="81"/>
      <c r="AW15" s="74"/>
      <c r="AX15" s="74"/>
      <c r="AY15" s="74"/>
      <c r="AZ15" s="83"/>
      <c r="BG15" s="43"/>
      <c r="BI15" s="43"/>
      <c r="BJ15" s="43"/>
      <c r="BK15" s="43"/>
      <c r="BL15" s="43"/>
      <c r="BM15" s="43"/>
      <c r="BO15" s="43"/>
      <c r="BR15" s="43"/>
      <c r="BS15" s="43"/>
      <c r="BW15" s="43"/>
      <c r="CC15" s="43"/>
      <c r="CE15" s="43"/>
      <c r="CF15" s="43"/>
      <c r="CH15" s="43"/>
      <c r="CK15" s="43"/>
    </row>
    <row r="16" spans="1:89" x14ac:dyDescent="0.25">
      <c r="B16" s="89"/>
      <c r="C16" s="124"/>
      <c r="D16" s="47"/>
      <c r="E16" s="40"/>
      <c r="F16" s="43"/>
      <c r="G16" s="43"/>
      <c r="H16" s="41"/>
      <c r="I16" s="42"/>
      <c r="J16" s="42"/>
      <c r="K16" s="84"/>
      <c r="L16" s="45"/>
      <c r="M16" s="43"/>
      <c r="N16" s="42"/>
      <c r="O16" s="42"/>
      <c r="P16" s="232"/>
      <c r="Q16" s="42"/>
      <c r="R16" s="42"/>
      <c r="S16" s="42"/>
      <c r="T16" s="42"/>
      <c r="U16" s="67"/>
      <c r="V16" s="220"/>
      <c r="W16" s="48"/>
      <c r="X16" s="49"/>
      <c r="Y16" s="43"/>
      <c r="Z16" s="49"/>
      <c r="AA16" s="43"/>
      <c r="AB16" s="43"/>
      <c r="AC16" s="49"/>
      <c r="AE16" s="43"/>
      <c r="AF16" s="69"/>
      <c r="AI16" s="46"/>
      <c r="AJ16" s="138"/>
      <c r="AK16" s="138"/>
      <c r="AL16" s="138"/>
      <c r="AM16" s="42"/>
      <c r="AO16" s="42"/>
      <c r="AQ16" s="43"/>
      <c r="AR16" s="43"/>
      <c r="AS16" s="44"/>
      <c r="AT16" s="44"/>
      <c r="AU16" s="44"/>
      <c r="AW16" s="42"/>
      <c r="AX16" s="42"/>
      <c r="AY16" s="45"/>
      <c r="AZ16" s="47"/>
      <c r="BG16" s="43"/>
      <c r="BI16" s="43"/>
      <c r="BJ16" s="43"/>
      <c r="BK16" s="43"/>
      <c r="BL16" s="43"/>
      <c r="BM16" s="43"/>
      <c r="BO16" s="43"/>
      <c r="BR16" s="43"/>
      <c r="BS16" s="43"/>
      <c r="BW16" s="43"/>
      <c r="CC16" s="43"/>
      <c r="CE16" s="43"/>
      <c r="CF16" s="43"/>
      <c r="CH16" s="43"/>
      <c r="CK16" s="43"/>
    </row>
    <row r="17" spans="2:89" x14ac:dyDescent="0.25">
      <c r="B17" s="194"/>
      <c r="C17" s="123"/>
      <c r="D17" s="47"/>
      <c r="E17" s="40"/>
      <c r="F17" s="111"/>
      <c r="G17" s="111"/>
      <c r="H17" s="41"/>
      <c r="I17" s="113"/>
      <c r="J17" s="42"/>
      <c r="K17" s="84"/>
      <c r="L17" s="45"/>
      <c r="M17" s="43"/>
      <c r="N17" s="42"/>
      <c r="O17" s="42"/>
      <c r="P17" s="42"/>
      <c r="Q17" s="42"/>
      <c r="R17" s="42"/>
      <c r="S17" s="227"/>
      <c r="T17" s="42"/>
      <c r="U17" s="196"/>
      <c r="V17" s="220"/>
      <c r="W17" s="48"/>
      <c r="X17" s="49"/>
      <c r="Y17" s="43"/>
      <c r="Z17" s="49"/>
      <c r="AA17" s="43"/>
      <c r="AB17" s="43"/>
      <c r="AC17" s="49"/>
      <c r="AE17" s="43"/>
      <c r="AF17" s="69"/>
      <c r="AG17" s="69"/>
      <c r="AI17" s="46"/>
      <c r="AJ17" s="138"/>
      <c r="AK17" s="198"/>
      <c r="AL17" s="198"/>
      <c r="AM17" s="74"/>
      <c r="AN17" s="74"/>
      <c r="AO17" s="74"/>
      <c r="AP17" s="74"/>
      <c r="AQ17" s="81"/>
      <c r="AR17" s="81"/>
      <c r="AS17" s="44"/>
      <c r="AT17" s="82"/>
      <c r="AU17" s="44"/>
      <c r="AV17" s="81"/>
      <c r="AW17" s="74"/>
      <c r="AX17" s="74"/>
      <c r="AY17" s="74"/>
      <c r="AZ17" s="83"/>
      <c r="BG17" s="43"/>
      <c r="BI17" s="43"/>
      <c r="BJ17" s="43"/>
      <c r="BK17" s="43"/>
      <c r="BL17" s="43"/>
      <c r="BM17" s="43"/>
      <c r="BO17" s="43"/>
      <c r="BR17" s="43"/>
      <c r="BS17" s="43"/>
      <c r="BW17" s="43"/>
      <c r="CC17" s="43"/>
      <c r="CE17" s="43"/>
      <c r="CF17" s="43"/>
      <c r="CH17" s="43"/>
      <c r="CK17" s="43"/>
    </row>
    <row r="18" spans="2:89" x14ac:dyDescent="0.25">
      <c r="B18" s="187"/>
      <c r="C18" s="125"/>
      <c r="D18" s="47"/>
      <c r="E18" s="188"/>
      <c r="F18" s="144"/>
      <c r="G18" s="144"/>
      <c r="H18" s="183"/>
      <c r="I18" s="204"/>
      <c r="J18" s="42"/>
      <c r="K18" s="84"/>
      <c r="L18" s="45"/>
      <c r="M18" s="206"/>
      <c r="N18" s="42"/>
      <c r="O18" s="42"/>
      <c r="P18" s="223"/>
      <c r="Q18" s="42"/>
      <c r="R18" s="42"/>
      <c r="S18" s="227"/>
      <c r="T18" s="42"/>
      <c r="U18" s="185"/>
      <c r="V18" s="220"/>
      <c r="W18" s="49"/>
      <c r="X18" s="49"/>
      <c r="Y18" s="49"/>
      <c r="Z18" s="49"/>
      <c r="AA18" s="43"/>
      <c r="AB18" s="43"/>
      <c r="AC18" s="49"/>
      <c r="AE18" s="43"/>
      <c r="AF18" s="69"/>
      <c r="AG18" s="69"/>
      <c r="AI18" s="46"/>
      <c r="AJ18" s="138"/>
      <c r="AK18" s="186"/>
      <c r="AL18" s="186"/>
      <c r="AM18" s="74"/>
      <c r="AN18" s="74"/>
      <c r="AO18" s="74"/>
      <c r="AP18" s="74"/>
      <c r="AQ18" s="81"/>
      <c r="AR18" s="81"/>
      <c r="AS18" s="44"/>
      <c r="AT18" s="82"/>
      <c r="AU18" s="44"/>
      <c r="AV18" s="81"/>
      <c r="AW18" s="74"/>
      <c r="AX18" s="74"/>
      <c r="AY18" s="74"/>
      <c r="AZ18" s="83"/>
      <c r="BG18" s="43"/>
      <c r="BI18" s="43"/>
      <c r="BJ18" s="43"/>
      <c r="BK18" s="43"/>
      <c r="BL18" s="43"/>
      <c r="BM18" s="43"/>
      <c r="BO18" s="43"/>
      <c r="BR18" s="43"/>
      <c r="BS18" s="43"/>
      <c r="BW18" s="43"/>
      <c r="CC18" s="43"/>
      <c r="CE18" s="43"/>
      <c r="CF18" s="43"/>
      <c r="CH18" s="43"/>
      <c r="CK18" s="43"/>
    </row>
    <row r="19" spans="2:89" x14ac:dyDescent="0.25">
      <c r="B19" s="89"/>
      <c r="C19" s="123"/>
      <c r="D19" s="47"/>
      <c r="E19" s="40"/>
      <c r="F19" s="43"/>
      <c r="G19" s="43"/>
      <c r="H19" s="41"/>
      <c r="I19" s="42"/>
      <c r="J19" s="42"/>
      <c r="K19" s="84"/>
      <c r="L19" s="45"/>
      <c r="M19" s="43"/>
      <c r="N19" s="42"/>
      <c r="O19" s="42"/>
      <c r="P19" s="223"/>
      <c r="Q19" s="42"/>
      <c r="R19" s="42"/>
      <c r="S19" s="42"/>
      <c r="T19" s="42"/>
      <c r="U19" s="67"/>
      <c r="V19" s="220"/>
      <c r="W19" s="48"/>
      <c r="X19" s="49"/>
      <c r="Y19" s="43"/>
      <c r="Z19" s="49"/>
      <c r="AA19" s="43"/>
      <c r="AB19" s="43"/>
      <c r="AC19" s="49"/>
      <c r="AE19" s="43"/>
      <c r="AF19" s="69"/>
      <c r="AI19" s="46"/>
      <c r="AJ19" s="138"/>
      <c r="AK19" s="138"/>
      <c r="AL19" s="138"/>
      <c r="AM19" s="42"/>
      <c r="AO19" s="42"/>
      <c r="AQ19" s="43"/>
      <c r="AR19" s="43"/>
      <c r="AS19" s="44"/>
      <c r="AT19" s="44"/>
      <c r="AU19" s="44"/>
      <c r="AW19" s="42"/>
      <c r="AX19" s="42"/>
      <c r="AY19" s="45"/>
      <c r="AZ19" s="47"/>
      <c r="BG19" s="43"/>
      <c r="BI19" s="43"/>
      <c r="BJ19" s="43"/>
      <c r="BK19" s="43"/>
      <c r="BL19" s="43"/>
      <c r="BM19" s="43"/>
      <c r="BO19" s="43"/>
      <c r="BR19" s="43"/>
      <c r="BS19" s="43"/>
      <c r="BW19" s="43"/>
      <c r="CC19" s="43"/>
      <c r="CE19" s="43"/>
      <c r="CF19" s="43"/>
      <c r="CH19" s="43"/>
      <c r="CK19" s="43"/>
    </row>
    <row r="20" spans="2:89" x14ac:dyDescent="0.25">
      <c r="B20" s="89"/>
      <c r="C20" s="123"/>
      <c r="D20" s="47"/>
      <c r="E20" s="40"/>
      <c r="F20" s="43"/>
      <c r="G20" s="43"/>
      <c r="H20" s="41"/>
      <c r="I20" s="205"/>
      <c r="J20" s="42"/>
      <c r="K20" s="84"/>
      <c r="L20" s="45"/>
      <c r="M20" s="43"/>
      <c r="N20" s="42"/>
      <c r="O20" s="42"/>
      <c r="P20" s="42"/>
      <c r="Q20" s="42"/>
      <c r="R20" s="42"/>
      <c r="S20" s="42"/>
      <c r="T20" s="42"/>
      <c r="U20" s="67"/>
      <c r="V20" s="220"/>
      <c r="W20" s="48"/>
      <c r="X20" s="49"/>
      <c r="Y20" s="43"/>
      <c r="Z20" s="49"/>
      <c r="AA20" s="43"/>
      <c r="AB20" s="43"/>
      <c r="AC20" s="49"/>
      <c r="AE20" s="43"/>
      <c r="AF20" s="69"/>
      <c r="AH20" s="150"/>
      <c r="AI20" s="46"/>
      <c r="AJ20" s="138"/>
      <c r="AK20" s="138"/>
      <c r="AL20" s="138"/>
      <c r="AM20" s="42"/>
      <c r="AO20" s="42"/>
      <c r="AQ20" s="43"/>
      <c r="AR20" s="43"/>
      <c r="AS20" s="44"/>
      <c r="AT20" s="152"/>
      <c r="AU20" s="44"/>
      <c r="AW20" s="42"/>
      <c r="AX20" s="42"/>
      <c r="AY20" s="45"/>
      <c r="AZ20" s="47"/>
      <c r="BG20" s="43"/>
      <c r="BI20" s="43"/>
      <c r="BJ20" s="43"/>
      <c r="BK20" s="43"/>
      <c r="BL20" s="43"/>
      <c r="BM20" s="43"/>
      <c r="BO20" s="43"/>
      <c r="BR20" s="43"/>
      <c r="BS20" s="43"/>
      <c r="BW20" s="43"/>
      <c r="CC20" s="43"/>
      <c r="CE20" s="43"/>
      <c r="CF20" s="43"/>
      <c r="CH20" s="43"/>
      <c r="CK20" s="43"/>
    </row>
    <row r="21" spans="2:89" x14ac:dyDescent="0.25">
      <c r="B21" s="89"/>
      <c r="C21" s="123"/>
      <c r="D21" s="47"/>
      <c r="E21" s="40"/>
      <c r="F21" s="43"/>
      <c r="G21" s="43"/>
      <c r="H21" s="41"/>
      <c r="I21" s="42"/>
      <c r="J21" s="42"/>
      <c r="K21" s="84"/>
      <c r="L21" s="45"/>
      <c r="M21" s="43"/>
      <c r="N21" s="42"/>
      <c r="O21" s="42"/>
      <c r="P21" s="42"/>
      <c r="Q21" s="42"/>
      <c r="R21" s="42"/>
      <c r="S21" s="42"/>
      <c r="T21" s="42"/>
      <c r="U21" s="67"/>
      <c r="V21" s="220"/>
      <c r="W21" s="48"/>
      <c r="X21" s="49"/>
      <c r="Y21" s="43"/>
      <c r="Z21" s="49"/>
      <c r="AA21" s="43"/>
      <c r="AB21" s="43"/>
      <c r="AC21" s="49"/>
      <c r="AE21" s="43"/>
      <c r="AF21" s="69"/>
      <c r="AI21" s="46"/>
      <c r="AJ21" s="138"/>
      <c r="AK21" s="138"/>
      <c r="AL21" s="138"/>
      <c r="AM21" s="42"/>
      <c r="AO21" s="42"/>
      <c r="AQ21" s="43"/>
      <c r="AR21" s="43"/>
      <c r="AS21" s="44"/>
      <c r="AT21" s="44"/>
      <c r="AU21" s="44"/>
      <c r="AW21" s="42"/>
      <c r="AX21" s="42"/>
      <c r="AY21" s="45"/>
      <c r="AZ21" s="47"/>
      <c r="BG21" s="43"/>
      <c r="BI21" s="43"/>
      <c r="BJ21" s="43"/>
      <c r="BK21" s="43"/>
      <c r="BL21" s="43"/>
      <c r="BM21" s="43"/>
      <c r="BO21" s="43"/>
      <c r="BR21" s="43"/>
      <c r="BS21" s="43"/>
      <c r="BW21" s="43"/>
      <c r="CC21" s="43"/>
      <c r="CE21" s="43"/>
      <c r="CF21" s="43"/>
      <c r="CH21" s="43"/>
      <c r="CK21" s="43"/>
    </row>
    <row r="22" spans="2:89" x14ac:dyDescent="0.25">
      <c r="B22" s="89"/>
      <c r="C22" s="123"/>
      <c r="D22" s="47"/>
      <c r="E22" s="40"/>
      <c r="F22" s="43"/>
      <c r="G22" s="43"/>
      <c r="H22" s="41"/>
      <c r="I22" s="42"/>
      <c r="J22" s="42"/>
      <c r="K22" s="84"/>
      <c r="L22" s="45"/>
      <c r="M22" s="43"/>
      <c r="N22" s="42"/>
      <c r="O22" s="42"/>
      <c r="P22" s="42"/>
      <c r="Q22" s="42"/>
      <c r="R22" s="42"/>
      <c r="S22" s="42"/>
      <c r="T22" s="42"/>
      <c r="U22" s="67"/>
      <c r="V22" s="220"/>
      <c r="W22" s="48"/>
      <c r="X22" s="49"/>
      <c r="Y22" s="43"/>
      <c r="Z22" s="49"/>
      <c r="AA22" s="43"/>
      <c r="AB22" s="43"/>
      <c r="AC22" s="49"/>
      <c r="AE22" s="43"/>
      <c r="AF22" s="69"/>
      <c r="AI22" s="46"/>
      <c r="AJ22" s="138"/>
      <c r="AK22" s="138"/>
      <c r="AL22" s="138"/>
      <c r="AM22" s="42"/>
      <c r="AO22" s="42"/>
      <c r="AQ22" s="43"/>
      <c r="AR22" s="43"/>
      <c r="AS22" s="44"/>
      <c r="AT22" s="44"/>
      <c r="AU22" s="44"/>
      <c r="AW22" s="42"/>
      <c r="AX22" s="42"/>
      <c r="AY22" s="45"/>
      <c r="AZ22" s="47"/>
      <c r="BG22" s="43"/>
      <c r="BI22" s="43"/>
      <c r="BJ22" s="43"/>
      <c r="BK22" s="43"/>
      <c r="BL22" s="43"/>
      <c r="BM22" s="43"/>
      <c r="BO22" s="43"/>
      <c r="BR22" s="43"/>
      <c r="BS22" s="43"/>
      <c r="BW22" s="43"/>
      <c r="CC22" s="43"/>
      <c r="CE22" s="43"/>
      <c r="CF22" s="43"/>
      <c r="CH22" s="43"/>
      <c r="CK22" s="43"/>
    </row>
    <row r="23" spans="2:89" x14ac:dyDescent="0.25">
      <c r="B23" s="89"/>
      <c r="C23" s="123"/>
      <c r="D23" s="47"/>
      <c r="E23" s="40"/>
      <c r="F23" s="43"/>
      <c r="G23" s="43"/>
      <c r="H23" s="41"/>
      <c r="I23" s="42"/>
      <c r="J23" s="42"/>
      <c r="K23" s="84"/>
      <c r="L23" s="45"/>
      <c r="M23" s="43"/>
      <c r="N23" s="42"/>
      <c r="O23" s="42"/>
      <c r="P23" s="42"/>
      <c r="Q23" s="42"/>
      <c r="R23" s="42"/>
      <c r="S23" s="42"/>
      <c r="T23" s="42"/>
      <c r="U23" s="67"/>
      <c r="V23" s="220"/>
      <c r="W23" s="48"/>
      <c r="X23" s="49"/>
      <c r="Y23" s="43"/>
      <c r="Z23" s="49"/>
      <c r="AA23" s="43"/>
      <c r="AB23" s="43"/>
      <c r="AC23" s="49"/>
      <c r="AE23" s="43"/>
      <c r="AF23" s="69"/>
      <c r="AI23" s="46"/>
      <c r="AJ23" s="138"/>
      <c r="AK23" s="138"/>
      <c r="AL23" s="138"/>
      <c r="AM23" s="42"/>
      <c r="AO23" s="42"/>
      <c r="AQ23" s="43"/>
      <c r="AR23" s="43"/>
      <c r="AS23" s="44"/>
      <c r="AT23" s="44"/>
      <c r="AU23" s="44"/>
      <c r="AW23" s="42"/>
      <c r="AX23" s="42"/>
      <c r="AY23" s="45"/>
      <c r="AZ23" s="47"/>
      <c r="BG23" s="43"/>
      <c r="BI23" s="43"/>
      <c r="BJ23" s="43"/>
      <c r="BK23" s="43"/>
      <c r="BL23" s="43"/>
      <c r="BM23" s="43"/>
      <c r="BO23" s="43"/>
      <c r="BR23" s="43"/>
      <c r="BS23" s="43"/>
      <c r="BW23" s="43"/>
      <c r="CC23" s="43"/>
      <c r="CE23" s="43"/>
      <c r="CF23" s="43"/>
      <c r="CH23" s="43"/>
      <c r="CK23" s="43"/>
    </row>
    <row r="24" spans="2:89" x14ac:dyDescent="0.25">
      <c r="B24" s="89"/>
      <c r="C24" s="123"/>
      <c r="D24" s="47"/>
      <c r="E24" s="40"/>
      <c r="F24" s="43"/>
      <c r="G24" s="43"/>
      <c r="H24" s="41"/>
      <c r="I24" s="42"/>
      <c r="J24" s="42"/>
      <c r="K24" s="84"/>
      <c r="L24" s="45"/>
      <c r="M24" s="43"/>
      <c r="N24" s="42"/>
      <c r="O24" s="42"/>
      <c r="P24" s="42"/>
      <c r="Q24" s="42"/>
      <c r="R24" s="42"/>
      <c r="S24" s="42"/>
      <c r="T24" s="42"/>
      <c r="U24" s="67"/>
      <c r="V24" s="220"/>
      <c r="W24" s="48"/>
      <c r="X24" s="49"/>
      <c r="Y24" s="43"/>
      <c r="Z24" s="49"/>
      <c r="AA24" s="43"/>
      <c r="AB24" s="43"/>
      <c r="AC24" s="49"/>
      <c r="AE24" s="43"/>
      <c r="AF24" s="69"/>
      <c r="AI24" s="46"/>
      <c r="AJ24" s="138"/>
      <c r="AK24" s="138"/>
      <c r="AL24" s="138"/>
      <c r="AM24" s="42"/>
      <c r="AO24" s="42"/>
      <c r="AQ24" s="43"/>
      <c r="AR24" s="43"/>
      <c r="AS24" s="44"/>
      <c r="AT24" s="44"/>
      <c r="AU24" s="44"/>
      <c r="AW24" s="42"/>
      <c r="AX24" s="42"/>
      <c r="AY24" s="45"/>
      <c r="AZ24" s="47"/>
      <c r="BG24" s="43"/>
      <c r="BI24" s="43"/>
      <c r="BJ24" s="43"/>
      <c r="BK24" s="43"/>
      <c r="BL24" s="43"/>
      <c r="BM24" s="43"/>
      <c r="BO24" s="43"/>
      <c r="BR24" s="43"/>
      <c r="BS24" s="43"/>
      <c r="BW24" s="43"/>
      <c r="CC24" s="43"/>
      <c r="CE24" s="43"/>
      <c r="CF24" s="43"/>
      <c r="CH24" s="43"/>
      <c r="CK24" s="43"/>
    </row>
    <row r="25" spans="2:89" x14ac:dyDescent="0.25">
      <c r="B25" s="89"/>
      <c r="C25" s="123"/>
      <c r="D25" s="47"/>
      <c r="E25" s="40"/>
      <c r="F25" s="43"/>
      <c r="G25" s="43"/>
      <c r="H25" s="41"/>
      <c r="I25" s="42"/>
      <c r="J25" s="42"/>
      <c r="K25" s="84"/>
      <c r="L25" s="45"/>
      <c r="M25" s="43"/>
      <c r="N25" s="42"/>
      <c r="O25" s="42"/>
      <c r="P25" s="42"/>
      <c r="Q25" s="42"/>
      <c r="R25" s="42"/>
      <c r="S25" s="42"/>
      <c r="T25" s="42"/>
      <c r="U25" s="67"/>
      <c r="V25" s="220"/>
      <c r="W25" s="48"/>
      <c r="X25" s="49"/>
      <c r="Y25" s="43"/>
      <c r="Z25" s="49"/>
      <c r="AA25" s="43"/>
      <c r="AB25" s="43"/>
      <c r="AC25" s="49"/>
      <c r="AE25" s="43"/>
      <c r="AF25" s="69"/>
      <c r="AI25" s="46"/>
      <c r="AJ25" s="138"/>
      <c r="AK25" s="138"/>
      <c r="AL25" s="138"/>
      <c r="AM25" s="42"/>
      <c r="AO25" s="42"/>
      <c r="AQ25" s="43"/>
      <c r="AR25" s="43"/>
      <c r="AS25" s="82"/>
      <c r="AT25" s="44"/>
      <c r="AU25" s="44"/>
      <c r="AW25" s="42"/>
      <c r="AX25" s="42"/>
      <c r="AY25" s="45"/>
      <c r="AZ25" s="47"/>
      <c r="BG25" s="43"/>
      <c r="BI25" s="43"/>
      <c r="BJ25" s="43"/>
      <c r="BK25" s="43"/>
      <c r="BL25" s="43"/>
      <c r="BM25" s="43"/>
      <c r="BO25" s="43"/>
      <c r="BR25" s="43"/>
      <c r="BS25" s="43"/>
      <c r="BW25" s="43"/>
      <c r="CC25" s="43"/>
      <c r="CE25" s="43"/>
      <c r="CF25" s="43"/>
      <c r="CH25" s="43"/>
      <c r="CK25" s="43"/>
    </row>
    <row r="26" spans="2:89" x14ac:dyDescent="0.25">
      <c r="B26" s="89"/>
      <c r="C26" s="123"/>
      <c r="D26" s="47"/>
      <c r="E26" s="40"/>
      <c r="F26" s="43"/>
      <c r="G26" s="43"/>
      <c r="H26" s="41"/>
      <c r="I26" s="42"/>
      <c r="J26" s="42"/>
      <c r="K26" s="84"/>
      <c r="L26" s="45"/>
      <c r="M26" s="43"/>
      <c r="N26" s="42"/>
      <c r="O26" s="42"/>
      <c r="P26" s="223"/>
      <c r="Q26" s="42"/>
      <c r="R26" s="42"/>
      <c r="S26" s="42"/>
      <c r="T26" s="42"/>
      <c r="U26" s="67"/>
      <c r="V26" s="220"/>
      <c r="W26" s="48"/>
      <c r="X26" s="49"/>
      <c r="Y26" s="49"/>
      <c r="Z26" s="49"/>
      <c r="AA26" s="43"/>
      <c r="AB26" s="43"/>
      <c r="AC26" s="49"/>
      <c r="AE26" s="43"/>
      <c r="AF26" s="69"/>
      <c r="AI26" s="46"/>
      <c r="AJ26" s="138"/>
      <c r="AK26" s="138"/>
      <c r="AL26" s="138"/>
      <c r="AM26" s="42"/>
      <c r="AO26" s="42"/>
      <c r="AQ26" s="43"/>
      <c r="AR26" s="43"/>
      <c r="AS26" s="44"/>
      <c r="AT26" s="44"/>
      <c r="AU26" s="44"/>
      <c r="AW26" s="42"/>
      <c r="AX26" s="42"/>
      <c r="AY26" s="45"/>
      <c r="AZ26" s="47"/>
      <c r="BG26" s="43"/>
      <c r="BI26" s="43"/>
      <c r="BJ26" s="43"/>
      <c r="BK26" s="43"/>
      <c r="BL26" s="43"/>
      <c r="BM26" s="43"/>
      <c r="BO26" s="43"/>
      <c r="BR26" s="43"/>
      <c r="BS26" s="43"/>
      <c r="BW26" s="43"/>
      <c r="CC26" s="43"/>
      <c r="CE26" s="43"/>
      <c r="CF26" s="43"/>
      <c r="CH26" s="43"/>
      <c r="CK26" s="43"/>
    </row>
    <row r="27" spans="2:89" x14ac:dyDescent="0.25">
      <c r="B27" s="89"/>
      <c r="C27" s="123"/>
      <c r="D27" s="47"/>
      <c r="E27" s="40"/>
      <c r="F27" s="43"/>
      <c r="G27" s="43"/>
      <c r="H27" s="41"/>
      <c r="I27" s="42"/>
      <c r="J27" s="42"/>
      <c r="K27" s="84"/>
      <c r="L27" s="45"/>
      <c r="M27" s="43"/>
      <c r="N27" s="42"/>
      <c r="O27" s="42"/>
      <c r="P27" s="223"/>
      <c r="Q27" s="42"/>
      <c r="R27" s="42"/>
      <c r="S27" s="42"/>
      <c r="T27" s="42"/>
      <c r="U27" s="67"/>
      <c r="V27" s="220"/>
      <c r="W27" s="48"/>
      <c r="X27" s="49"/>
      <c r="Y27" s="43"/>
      <c r="Z27" s="49"/>
      <c r="AA27" s="43"/>
      <c r="AB27" s="43"/>
      <c r="AC27" s="49"/>
      <c r="AE27" s="43"/>
      <c r="AF27" s="69"/>
      <c r="AI27" s="46"/>
      <c r="AJ27" s="138"/>
      <c r="AK27" s="138"/>
      <c r="AL27" s="138"/>
      <c r="AM27" s="42"/>
      <c r="AO27" s="42"/>
      <c r="AQ27" s="43"/>
      <c r="AR27" s="43"/>
      <c r="AS27" s="44"/>
      <c r="AT27" s="44"/>
      <c r="AU27" s="44"/>
      <c r="AW27" s="42"/>
      <c r="AX27" s="42"/>
      <c r="AY27" s="45"/>
      <c r="AZ27" s="47"/>
      <c r="BG27" s="43"/>
      <c r="BI27" s="43"/>
      <c r="BJ27" s="43"/>
      <c r="BK27" s="43"/>
      <c r="BL27" s="43"/>
      <c r="BM27" s="43"/>
      <c r="BO27" s="43"/>
      <c r="BR27" s="43"/>
      <c r="BS27" s="43"/>
      <c r="BW27" s="43"/>
      <c r="CC27" s="43"/>
      <c r="CE27" s="43"/>
      <c r="CF27" s="43"/>
      <c r="CH27" s="43"/>
      <c r="CK27" s="43"/>
    </row>
    <row r="28" spans="2:89" x14ac:dyDescent="0.25">
      <c r="B28" s="89"/>
      <c r="C28" s="123"/>
      <c r="D28" s="47"/>
      <c r="E28" s="40"/>
      <c r="F28" s="43"/>
      <c r="G28" s="43"/>
      <c r="H28" s="41"/>
      <c r="I28" s="42"/>
      <c r="J28" s="42"/>
      <c r="K28" s="84"/>
      <c r="L28" s="45"/>
      <c r="M28" s="43"/>
      <c r="N28" s="42"/>
      <c r="O28" s="42"/>
      <c r="P28" s="229"/>
      <c r="Q28" s="42"/>
      <c r="R28" s="42"/>
      <c r="S28" s="42"/>
      <c r="T28" s="42"/>
      <c r="U28" s="67"/>
      <c r="V28" s="220"/>
      <c r="W28" s="48"/>
      <c r="X28" s="49"/>
      <c r="Y28" s="43"/>
      <c r="Z28" s="49"/>
      <c r="AA28" s="43"/>
      <c r="AB28" s="43"/>
      <c r="AC28" s="49"/>
      <c r="AE28" s="43"/>
      <c r="AF28" s="69"/>
      <c r="AI28" s="46"/>
      <c r="AJ28" s="138"/>
      <c r="AK28" s="138"/>
      <c r="AL28" s="138"/>
      <c r="AM28" s="42"/>
      <c r="AO28" s="42"/>
      <c r="AQ28" s="43"/>
      <c r="AR28" s="43"/>
      <c r="AS28" s="44"/>
      <c r="AT28" s="44"/>
      <c r="AU28" s="44"/>
      <c r="AW28" s="42"/>
      <c r="AX28" s="42"/>
      <c r="AY28" s="45"/>
      <c r="AZ28" s="47"/>
      <c r="BG28" s="43"/>
      <c r="BI28" s="43"/>
      <c r="BJ28" s="43"/>
      <c r="BK28" s="43"/>
      <c r="BL28" s="43"/>
      <c r="BM28" s="43"/>
      <c r="BO28" s="43"/>
      <c r="BR28" s="43"/>
      <c r="BS28" s="43"/>
      <c r="BW28" s="43"/>
      <c r="CC28" s="43"/>
      <c r="CE28" s="43"/>
      <c r="CF28" s="43"/>
      <c r="CH28" s="43"/>
      <c r="CK28" s="43"/>
    </row>
    <row r="29" spans="2:89" ht="15.75" customHeight="1" x14ac:dyDescent="0.25">
      <c r="B29" s="187"/>
      <c r="C29" s="123"/>
      <c r="D29" s="47"/>
      <c r="E29" s="40"/>
      <c r="F29" s="43"/>
      <c r="G29" s="43"/>
      <c r="H29" s="183"/>
      <c r="I29" s="209"/>
      <c r="J29" s="189"/>
      <c r="K29" s="184"/>
      <c r="L29" s="45"/>
      <c r="M29" s="132"/>
      <c r="N29" s="42"/>
      <c r="O29" s="42"/>
      <c r="P29" s="42"/>
      <c r="Q29" s="42"/>
      <c r="R29" s="42"/>
      <c r="S29" s="227"/>
      <c r="T29" s="42"/>
      <c r="U29" s="185"/>
      <c r="V29" s="221"/>
      <c r="W29" s="48"/>
      <c r="X29" s="49"/>
      <c r="Y29" s="43"/>
      <c r="Z29" s="49"/>
      <c r="AA29" s="43"/>
      <c r="AB29" s="43"/>
      <c r="AC29" s="49"/>
      <c r="AE29" s="43"/>
      <c r="AF29" s="69"/>
      <c r="AG29" s="69"/>
      <c r="AI29" s="46"/>
      <c r="AJ29" s="138"/>
      <c r="AK29" s="186"/>
      <c r="AL29" s="186"/>
      <c r="AM29" s="74"/>
      <c r="AN29" s="74"/>
      <c r="AO29" s="74"/>
      <c r="AP29" s="74"/>
      <c r="AQ29" s="81"/>
      <c r="AR29" s="81"/>
      <c r="AS29" s="44"/>
      <c r="AT29" s="82"/>
      <c r="AU29" s="44"/>
      <c r="AV29" s="81"/>
      <c r="AW29" s="74"/>
      <c r="AX29" s="74"/>
      <c r="AY29" s="74"/>
      <c r="AZ29" s="83"/>
      <c r="BG29" s="43"/>
      <c r="BI29" s="43"/>
      <c r="BJ29" s="43"/>
      <c r="BK29" s="43"/>
      <c r="BL29" s="43"/>
      <c r="BM29" s="43"/>
      <c r="BO29" s="43"/>
      <c r="BR29" s="43"/>
      <c r="BS29" s="43"/>
      <c r="BW29" s="43"/>
      <c r="CC29" s="43"/>
      <c r="CE29" s="43"/>
      <c r="CF29" s="43"/>
      <c r="CH29" s="43"/>
      <c r="CK29" s="43"/>
    </row>
    <row r="30" spans="2:89" x14ac:dyDescent="0.25">
      <c r="B30" s="187"/>
      <c r="C30" s="123"/>
      <c r="D30" s="47"/>
      <c r="E30" s="40"/>
      <c r="F30" s="43"/>
      <c r="G30" s="43"/>
      <c r="H30" s="183"/>
      <c r="I30" s="209"/>
      <c r="J30" s="190"/>
      <c r="K30" s="184"/>
      <c r="L30" s="45"/>
      <c r="M30" s="45"/>
      <c r="N30" s="42"/>
      <c r="O30" s="42"/>
      <c r="P30" s="42"/>
      <c r="Q30" s="42"/>
      <c r="R30" s="42"/>
      <c r="S30" s="227"/>
      <c r="T30" s="42"/>
      <c r="U30" s="185"/>
      <c r="V30" s="221"/>
      <c r="W30" s="48"/>
      <c r="X30" s="49"/>
      <c r="Y30" s="43"/>
      <c r="Z30" s="49"/>
      <c r="AA30" s="43"/>
      <c r="AB30" s="43"/>
      <c r="AC30" s="49"/>
      <c r="AE30" s="43"/>
      <c r="AF30" s="69"/>
      <c r="AG30" s="69"/>
      <c r="AI30" s="46"/>
      <c r="AJ30" s="138"/>
      <c r="AK30" s="186"/>
      <c r="AL30" s="186"/>
      <c r="AM30" s="74"/>
      <c r="AN30" s="74"/>
      <c r="AO30" s="74"/>
      <c r="AP30" s="74"/>
      <c r="AQ30" s="81"/>
      <c r="AR30" s="81"/>
      <c r="AS30" s="44"/>
      <c r="AT30" s="82"/>
      <c r="AU30" s="44"/>
      <c r="AV30" s="81"/>
      <c r="AW30" s="74"/>
      <c r="AX30" s="74"/>
      <c r="AY30" s="74"/>
      <c r="AZ30" s="83"/>
      <c r="BG30" s="43"/>
      <c r="BI30" s="43"/>
      <c r="BJ30" s="43"/>
      <c r="BK30" s="43"/>
      <c r="BL30" s="43"/>
      <c r="BM30" s="43"/>
      <c r="BO30" s="43"/>
      <c r="BR30" s="43"/>
      <c r="BS30" s="43"/>
      <c r="BW30" s="43"/>
      <c r="CC30" s="43"/>
      <c r="CE30" s="43"/>
      <c r="CF30" s="43"/>
      <c r="CH30" s="43"/>
      <c r="CK30" s="43"/>
    </row>
    <row r="31" spans="2:89" x14ac:dyDescent="0.25">
      <c r="B31" s="89"/>
      <c r="C31" s="123"/>
      <c r="D31" s="47"/>
      <c r="E31" s="40"/>
      <c r="F31" s="43"/>
      <c r="G31" s="43"/>
      <c r="H31" s="41"/>
      <c r="I31" s="42"/>
      <c r="J31" s="42"/>
      <c r="K31" s="84"/>
      <c r="L31" s="45"/>
      <c r="M31" s="43"/>
      <c r="N31" s="42"/>
      <c r="O31" s="42"/>
      <c r="P31" s="42"/>
      <c r="Q31" s="42"/>
      <c r="R31" s="42"/>
      <c r="S31" s="42"/>
      <c r="T31" s="42"/>
      <c r="U31" s="67"/>
      <c r="V31" s="220"/>
      <c r="W31" s="48"/>
      <c r="X31" s="49"/>
      <c r="Y31" s="43"/>
      <c r="Z31" s="49"/>
      <c r="AA31" s="43"/>
      <c r="AB31" s="43"/>
      <c r="AC31" s="49"/>
      <c r="AE31" s="43"/>
      <c r="AF31" s="69"/>
      <c r="AI31" s="46"/>
      <c r="AJ31" s="138"/>
      <c r="AK31" s="138"/>
      <c r="AL31" s="138"/>
      <c r="AM31" s="42"/>
      <c r="AO31" s="42"/>
      <c r="AQ31" s="43"/>
      <c r="AR31" s="43"/>
      <c r="AS31" s="44"/>
      <c r="AT31" s="44"/>
      <c r="AU31" s="44"/>
      <c r="AW31" s="42"/>
      <c r="AX31" s="42"/>
      <c r="AY31" s="45"/>
      <c r="AZ31" s="47"/>
      <c r="BG31" s="43"/>
      <c r="BI31" s="43"/>
      <c r="BJ31" s="43"/>
      <c r="BK31" s="43"/>
      <c r="BL31" s="43"/>
      <c r="BM31" s="43"/>
      <c r="BO31" s="43"/>
      <c r="BR31" s="43"/>
      <c r="BS31" s="43"/>
      <c r="BW31" s="43"/>
      <c r="CC31" s="43"/>
      <c r="CE31" s="43"/>
      <c r="CF31" s="43"/>
      <c r="CH31" s="43"/>
      <c r="CK31" s="43"/>
    </row>
    <row r="32" spans="2:89" x14ac:dyDescent="0.25">
      <c r="B32" s="89"/>
      <c r="C32" s="123"/>
      <c r="D32" s="47"/>
      <c r="E32" s="40"/>
      <c r="F32" s="43"/>
      <c r="G32" s="43"/>
      <c r="H32" s="41"/>
      <c r="I32" s="42"/>
      <c r="J32" s="42"/>
      <c r="K32" s="84"/>
      <c r="L32" s="45"/>
      <c r="M32" s="43"/>
      <c r="N32" s="42"/>
      <c r="O32" s="42"/>
      <c r="P32" s="223"/>
      <c r="Q32" s="42"/>
      <c r="R32" s="42"/>
      <c r="S32" s="42"/>
      <c r="T32" s="42"/>
      <c r="U32" s="67"/>
      <c r="V32" s="220"/>
      <c r="W32" s="48"/>
      <c r="X32" s="49"/>
      <c r="Y32" s="43"/>
      <c r="Z32" s="49"/>
      <c r="AA32" s="43"/>
      <c r="AB32" s="43"/>
      <c r="AC32" s="49"/>
      <c r="AE32" s="43"/>
      <c r="AF32" s="69"/>
      <c r="AI32" s="46"/>
      <c r="AJ32" s="138"/>
      <c r="AK32" s="138"/>
      <c r="AL32" s="138"/>
      <c r="AM32" s="42"/>
      <c r="AO32" s="42"/>
      <c r="AQ32" s="43"/>
      <c r="AR32" s="43"/>
      <c r="AS32" s="44"/>
      <c r="AT32" s="44"/>
      <c r="AU32" s="44"/>
      <c r="AW32" s="42"/>
      <c r="AX32" s="42"/>
      <c r="AY32" s="45"/>
      <c r="AZ32" s="47"/>
      <c r="BG32" s="43"/>
      <c r="BI32" s="43"/>
      <c r="BJ32" s="43"/>
      <c r="BK32" s="43"/>
      <c r="BL32" s="43"/>
      <c r="BM32" s="43"/>
      <c r="BO32" s="43"/>
      <c r="BR32" s="43"/>
      <c r="BS32" s="43"/>
      <c r="BW32" s="43"/>
      <c r="CC32" s="43"/>
      <c r="CE32" s="43"/>
      <c r="CF32" s="43"/>
      <c r="CH32" s="43"/>
      <c r="CK32" s="43"/>
    </row>
    <row r="33" spans="2:89" x14ac:dyDescent="0.25">
      <c r="B33" s="89"/>
      <c r="C33" s="123"/>
      <c r="D33" s="47"/>
      <c r="E33" s="40"/>
      <c r="F33" s="43"/>
      <c r="G33" s="43"/>
      <c r="H33" s="41"/>
      <c r="I33" s="42"/>
      <c r="J33" s="42"/>
      <c r="K33" s="84"/>
      <c r="L33" s="45"/>
      <c r="M33" s="43"/>
      <c r="N33" s="42"/>
      <c r="O33" s="42"/>
      <c r="P33" s="223"/>
      <c r="Q33" s="42"/>
      <c r="R33" s="42"/>
      <c r="S33" s="42"/>
      <c r="T33" s="42"/>
      <c r="U33" s="67"/>
      <c r="V33" s="220"/>
      <c r="W33" s="48"/>
      <c r="X33" s="49"/>
      <c r="Y33" s="43"/>
      <c r="Z33" s="49"/>
      <c r="AA33" s="43"/>
      <c r="AB33" s="43"/>
      <c r="AC33" s="49"/>
      <c r="AE33" s="43"/>
      <c r="AF33" s="69"/>
      <c r="AI33" s="46"/>
      <c r="AJ33" s="138"/>
      <c r="AK33" s="138"/>
      <c r="AL33" s="138"/>
      <c r="AM33" s="42"/>
      <c r="AO33" s="42"/>
      <c r="AQ33" s="43"/>
      <c r="AR33" s="43"/>
      <c r="AS33" s="44"/>
      <c r="AT33" s="44"/>
      <c r="AU33" s="44"/>
      <c r="AW33" s="42"/>
      <c r="AX33" s="42"/>
      <c r="AY33" s="45"/>
      <c r="AZ33" s="47"/>
      <c r="BG33" s="43"/>
      <c r="BI33" s="43"/>
      <c r="BJ33" s="43"/>
      <c r="BK33" s="43"/>
      <c r="BL33" s="43"/>
      <c r="BM33" s="43"/>
      <c r="BO33" s="43"/>
      <c r="BR33" s="43"/>
      <c r="BS33" s="43"/>
      <c r="BW33" s="43"/>
      <c r="CC33" s="43"/>
      <c r="CE33" s="43"/>
      <c r="CF33" s="43"/>
      <c r="CH33" s="43"/>
      <c r="CK33" s="43"/>
    </row>
    <row r="34" spans="2:89" x14ac:dyDescent="0.25">
      <c r="B34" s="89"/>
      <c r="C34" s="123"/>
      <c r="D34" s="47"/>
      <c r="E34" s="40"/>
      <c r="F34" s="43"/>
      <c r="G34" s="43"/>
      <c r="H34" s="41"/>
      <c r="I34" s="42"/>
      <c r="J34" s="42"/>
      <c r="K34" s="84"/>
      <c r="L34" s="45"/>
      <c r="M34" s="43"/>
      <c r="N34" s="42"/>
      <c r="O34" s="42"/>
      <c r="P34" s="223"/>
      <c r="Q34" s="42"/>
      <c r="R34" s="42"/>
      <c r="S34" s="42"/>
      <c r="T34" s="42"/>
      <c r="U34" s="67"/>
      <c r="V34" s="220"/>
      <c r="W34" s="48"/>
      <c r="X34" s="49"/>
      <c r="Y34" s="43"/>
      <c r="Z34" s="49"/>
      <c r="AA34" s="43"/>
      <c r="AB34" s="43"/>
      <c r="AC34" s="49"/>
      <c r="AE34" s="43"/>
      <c r="AF34" s="69"/>
      <c r="AI34" s="46"/>
      <c r="AJ34" s="138"/>
      <c r="AK34" s="138"/>
      <c r="AL34" s="138"/>
      <c r="AM34" s="42"/>
      <c r="AO34" s="42"/>
      <c r="AQ34" s="43"/>
      <c r="AR34" s="43"/>
      <c r="AS34" s="44"/>
      <c r="AT34" s="44"/>
      <c r="AU34" s="44"/>
      <c r="AW34" s="42"/>
      <c r="AX34" s="42"/>
      <c r="AY34" s="45"/>
      <c r="AZ34" s="47"/>
      <c r="BG34" s="43"/>
      <c r="BI34" s="43"/>
      <c r="BJ34" s="43"/>
      <c r="BK34" s="43"/>
      <c r="BL34" s="43"/>
      <c r="BM34" s="43"/>
      <c r="BO34" s="43"/>
      <c r="BR34" s="43"/>
      <c r="BS34" s="43"/>
      <c r="BW34" s="43"/>
      <c r="CC34" s="43"/>
      <c r="CE34" s="43"/>
      <c r="CF34" s="43"/>
      <c r="CH34" s="43"/>
      <c r="CK34" s="43"/>
    </row>
    <row r="35" spans="2:89" x14ac:dyDescent="0.25">
      <c r="B35" s="89"/>
      <c r="C35" s="123"/>
      <c r="D35" s="47"/>
      <c r="E35" s="40"/>
      <c r="F35" s="43"/>
      <c r="G35" s="43"/>
      <c r="H35" s="41"/>
      <c r="I35" s="42"/>
      <c r="J35" s="42"/>
      <c r="K35" s="84"/>
      <c r="L35" s="45"/>
      <c r="M35" s="43"/>
      <c r="N35" s="42"/>
      <c r="O35" s="42"/>
      <c r="P35" s="42"/>
      <c r="Q35" s="42"/>
      <c r="R35" s="42"/>
      <c r="S35" s="42"/>
      <c r="T35" s="42"/>
      <c r="U35" s="67"/>
      <c r="V35" s="220"/>
      <c r="W35" s="48"/>
      <c r="X35" s="49"/>
      <c r="Y35" s="43"/>
      <c r="Z35" s="49"/>
      <c r="AA35" s="43"/>
      <c r="AB35" s="43"/>
      <c r="AC35" s="49"/>
      <c r="AE35" s="43"/>
      <c r="AF35" s="69"/>
      <c r="AI35" s="46"/>
      <c r="AJ35" s="138"/>
      <c r="AK35" s="138"/>
      <c r="AL35" s="138"/>
      <c r="AM35" s="42"/>
      <c r="AO35" s="42"/>
      <c r="AQ35" s="43"/>
      <c r="AR35" s="43"/>
      <c r="AS35" s="44"/>
      <c r="AT35" s="44"/>
      <c r="AU35" s="44"/>
      <c r="AW35" s="42"/>
      <c r="AX35" s="42"/>
      <c r="AY35" s="45"/>
      <c r="AZ35" s="47"/>
      <c r="BG35" s="43"/>
      <c r="BI35" s="43"/>
      <c r="BJ35" s="43"/>
      <c r="BK35" s="43"/>
      <c r="BL35" s="43"/>
      <c r="BM35" s="43"/>
      <c r="BO35" s="43"/>
      <c r="BR35" s="43"/>
      <c r="BS35" s="43"/>
      <c r="BW35" s="43"/>
      <c r="CC35" s="43"/>
      <c r="CE35" s="43"/>
      <c r="CF35" s="43"/>
      <c r="CH35" s="43"/>
      <c r="CK35" s="43"/>
    </row>
    <row r="36" spans="2:89" x14ac:dyDescent="0.25">
      <c r="B36" s="89"/>
      <c r="C36" s="123"/>
      <c r="D36" s="47"/>
      <c r="E36" s="40"/>
      <c r="F36" s="43"/>
      <c r="G36" s="43"/>
      <c r="H36" s="41"/>
      <c r="I36" s="42"/>
      <c r="J36" s="42"/>
      <c r="K36" s="84"/>
      <c r="L36" s="45"/>
      <c r="M36" s="43"/>
      <c r="N36" s="42"/>
      <c r="O36" s="42"/>
      <c r="P36" s="42"/>
      <c r="Q36" s="42"/>
      <c r="R36" s="42"/>
      <c r="S36" s="42"/>
      <c r="T36" s="42"/>
      <c r="U36" s="67"/>
      <c r="V36" s="220"/>
      <c r="W36" s="48"/>
      <c r="X36" s="49"/>
      <c r="Y36" s="43"/>
      <c r="Z36" s="49"/>
      <c r="AA36" s="43"/>
      <c r="AB36" s="43"/>
      <c r="AC36" s="49"/>
      <c r="AE36" s="43"/>
      <c r="AF36" s="69"/>
      <c r="AI36" s="46"/>
      <c r="AJ36" s="138"/>
      <c r="AK36" s="138"/>
      <c r="AL36" s="138"/>
      <c r="AM36" s="42"/>
      <c r="AO36" s="42"/>
      <c r="AQ36" s="43"/>
      <c r="AR36" s="43"/>
      <c r="AS36" s="44"/>
      <c r="AT36" s="44"/>
      <c r="AU36" s="44"/>
      <c r="AW36" s="42"/>
      <c r="AX36" s="42"/>
      <c r="AY36" s="45"/>
      <c r="AZ36" s="47"/>
      <c r="BG36" s="43"/>
      <c r="BI36" s="43"/>
      <c r="BJ36" s="43"/>
      <c r="BK36" s="43"/>
      <c r="BL36" s="43"/>
      <c r="BM36" s="43"/>
      <c r="BO36" s="43"/>
      <c r="BR36" s="43"/>
      <c r="BS36" s="43"/>
      <c r="BW36" s="43"/>
      <c r="CC36" s="43"/>
      <c r="CE36" s="43"/>
      <c r="CF36" s="43"/>
      <c r="CH36" s="43"/>
      <c r="CK36" s="43"/>
    </row>
    <row r="37" spans="2:89" x14ac:dyDescent="0.25">
      <c r="B37" s="89"/>
      <c r="C37" s="123"/>
      <c r="D37" s="47"/>
      <c r="E37" s="40"/>
      <c r="F37" s="43"/>
      <c r="G37" s="43"/>
      <c r="H37" s="41"/>
      <c r="I37" s="42"/>
      <c r="J37" s="42"/>
      <c r="K37" s="84"/>
      <c r="L37" s="45"/>
      <c r="M37" s="43"/>
      <c r="N37" s="42"/>
      <c r="O37" s="42"/>
      <c r="P37" s="223"/>
      <c r="Q37" s="42"/>
      <c r="R37" s="42"/>
      <c r="S37" s="42"/>
      <c r="T37" s="42"/>
      <c r="U37" s="67"/>
      <c r="V37" s="220"/>
      <c r="W37" s="48"/>
      <c r="X37" s="49"/>
      <c r="Y37" s="43"/>
      <c r="Z37" s="49"/>
      <c r="AA37" s="43"/>
      <c r="AB37" s="43"/>
      <c r="AC37" s="49"/>
      <c r="AE37" s="43"/>
      <c r="AF37" s="69"/>
      <c r="AI37" s="46"/>
      <c r="AJ37" s="138"/>
      <c r="AK37" s="138"/>
      <c r="AL37" s="138"/>
      <c r="AM37" s="42"/>
      <c r="AO37" s="42"/>
      <c r="AQ37" s="43"/>
      <c r="AR37" s="43"/>
      <c r="AS37" s="44"/>
      <c r="AT37" s="44"/>
      <c r="AU37" s="44"/>
      <c r="AW37" s="42"/>
      <c r="AX37" s="42"/>
      <c r="AY37" s="45"/>
      <c r="AZ37" s="47"/>
      <c r="BG37" s="43"/>
      <c r="BI37" s="43"/>
      <c r="BJ37" s="43"/>
      <c r="BK37" s="43"/>
      <c r="BL37" s="43"/>
      <c r="BM37" s="43"/>
      <c r="BO37" s="43"/>
      <c r="BR37" s="43"/>
      <c r="BS37" s="43"/>
      <c r="BW37" s="43"/>
      <c r="CC37" s="43"/>
      <c r="CE37" s="43"/>
      <c r="CF37" s="43"/>
      <c r="CH37" s="43"/>
      <c r="CK37" s="43"/>
    </row>
    <row r="38" spans="2:89" x14ac:dyDescent="0.25">
      <c r="B38" s="89"/>
      <c r="C38" s="123"/>
      <c r="D38" s="47"/>
      <c r="E38" s="40"/>
      <c r="F38" s="43"/>
      <c r="G38" s="43"/>
      <c r="H38" s="41"/>
      <c r="I38" s="182"/>
      <c r="J38" s="42"/>
      <c r="K38" s="84"/>
      <c r="L38" s="45"/>
      <c r="M38" s="43"/>
      <c r="N38" s="42"/>
      <c r="O38" s="42"/>
      <c r="P38" s="223"/>
      <c r="Q38" s="42"/>
      <c r="R38" s="42"/>
      <c r="S38" s="42"/>
      <c r="T38" s="42"/>
      <c r="U38" s="67"/>
      <c r="V38" s="220"/>
      <c r="W38" s="48"/>
      <c r="X38" s="49"/>
      <c r="Y38" s="43"/>
      <c r="Z38" s="49"/>
      <c r="AA38" s="43"/>
      <c r="AB38" s="43"/>
      <c r="AC38" s="49"/>
      <c r="AE38" s="43"/>
      <c r="AF38" s="69"/>
      <c r="AH38" s="150"/>
      <c r="AI38" s="46"/>
      <c r="AJ38" s="138"/>
      <c r="AK38" s="138"/>
      <c r="AL38" s="138"/>
      <c r="AM38" s="42"/>
      <c r="AO38" s="42"/>
      <c r="AQ38" s="43"/>
      <c r="AR38" s="43"/>
      <c r="AS38" s="44"/>
      <c r="AT38" s="152"/>
      <c r="AU38" s="44"/>
      <c r="AW38" s="42"/>
      <c r="AX38" s="42"/>
      <c r="AY38" s="45"/>
      <c r="AZ38" s="47"/>
      <c r="BG38" s="43"/>
      <c r="BI38" s="43"/>
      <c r="BJ38" s="43"/>
      <c r="BK38" s="43"/>
      <c r="BL38" s="43"/>
      <c r="BM38" s="43"/>
      <c r="BO38" s="43"/>
      <c r="BR38" s="43"/>
      <c r="BS38" s="43"/>
      <c r="BW38" s="43"/>
      <c r="CC38" s="43"/>
      <c r="CE38" s="43"/>
      <c r="CF38" s="43"/>
      <c r="CH38" s="43"/>
      <c r="CK38" s="43"/>
    </row>
    <row r="39" spans="2:89" x14ac:dyDescent="0.25">
      <c r="B39" s="89"/>
      <c r="C39" s="123"/>
      <c r="D39" s="47"/>
      <c r="E39" s="40"/>
      <c r="F39" s="43"/>
      <c r="G39" s="43"/>
      <c r="H39" s="41"/>
      <c r="I39" s="42"/>
      <c r="J39" s="42"/>
      <c r="K39" s="84"/>
      <c r="L39" s="45"/>
      <c r="M39" s="43"/>
      <c r="N39" s="42"/>
      <c r="O39" s="42"/>
      <c r="P39" s="223"/>
      <c r="Q39" s="42"/>
      <c r="R39" s="42"/>
      <c r="S39" s="42"/>
      <c r="T39" s="42"/>
      <c r="U39" s="67"/>
      <c r="V39" s="220"/>
      <c r="W39" s="48"/>
      <c r="X39" s="49"/>
      <c r="Y39" s="43"/>
      <c r="Z39" s="49"/>
      <c r="AA39" s="43"/>
      <c r="AB39" s="43"/>
      <c r="AC39" s="49"/>
      <c r="AE39" s="43"/>
      <c r="AF39" s="69"/>
      <c r="AI39" s="46"/>
      <c r="AJ39" s="138"/>
      <c r="AK39" s="138"/>
      <c r="AL39" s="138"/>
      <c r="AM39" s="42"/>
      <c r="AO39" s="42"/>
      <c r="AQ39" s="43"/>
      <c r="AR39" s="43"/>
      <c r="AS39" s="44"/>
      <c r="AT39" s="44"/>
      <c r="AU39" s="44"/>
      <c r="AW39" s="42"/>
      <c r="AX39" s="42"/>
      <c r="AY39" s="45"/>
      <c r="AZ39" s="47"/>
      <c r="BG39" s="43"/>
      <c r="BI39" s="43"/>
      <c r="BJ39" s="43"/>
      <c r="BK39" s="43"/>
      <c r="BL39" s="43"/>
      <c r="BM39" s="43"/>
      <c r="BO39" s="43"/>
      <c r="BR39" s="43"/>
      <c r="BS39" s="43"/>
      <c r="BW39" s="43"/>
      <c r="CC39" s="43"/>
      <c r="CE39" s="43"/>
      <c r="CF39" s="43"/>
      <c r="CH39" s="43"/>
      <c r="CK39" s="43"/>
    </row>
    <row r="40" spans="2:89" x14ac:dyDescent="0.25">
      <c r="B40" s="89"/>
      <c r="C40" s="123"/>
      <c r="D40" s="47"/>
      <c r="E40" s="40"/>
      <c r="F40" s="43"/>
      <c r="G40" s="43"/>
      <c r="H40" s="41"/>
      <c r="I40" s="42"/>
      <c r="J40" s="42"/>
      <c r="K40" s="84"/>
      <c r="L40" s="45"/>
      <c r="M40" s="43"/>
      <c r="N40" s="42"/>
      <c r="O40" s="42"/>
      <c r="P40" s="223"/>
      <c r="Q40" s="42"/>
      <c r="R40" s="42"/>
      <c r="S40" s="42"/>
      <c r="T40" s="42"/>
      <c r="U40" s="67"/>
      <c r="V40" s="220"/>
      <c r="W40" s="48"/>
      <c r="X40" s="49"/>
      <c r="Y40" s="43"/>
      <c r="Z40" s="49"/>
      <c r="AA40" s="43"/>
      <c r="AB40" s="43"/>
      <c r="AC40" s="49"/>
      <c r="AE40" s="43"/>
      <c r="AF40" s="69"/>
      <c r="AI40" s="46"/>
      <c r="AJ40" s="138"/>
      <c r="AK40" s="138"/>
      <c r="AL40" s="138"/>
      <c r="AM40" s="42"/>
      <c r="AO40" s="42"/>
      <c r="AQ40" s="43"/>
      <c r="AR40" s="43"/>
      <c r="AS40" s="44"/>
      <c r="AT40" s="44"/>
      <c r="AU40" s="44"/>
      <c r="AW40" s="42"/>
      <c r="AX40" s="42"/>
      <c r="AY40" s="45"/>
      <c r="AZ40" s="47"/>
      <c r="BG40" s="43"/>
      <c r="BI40" s="43"/>
      <c r="BJ40" s="43"/>
      <c r="BK40" s="43"/>
      <c r="BL40" s="43"/>
      <c r="BM40" s="43"/>
      <c r="BO40" s="43"/>
      <c r="BR40" s="43"/>
      <c r="BS40" s="43"/>
      <c r="BW40" s="43"/>
      <c r="CC40" s="43"/>
      <c r="CE40" s="43"/>
      <c r="CF40" s="43"/>
      <c r="CH40" s="43"/>
      <c r="CK40" s="43"/>
    </row>
    <row r="41" spans="2:89" x14ac:dyDescent="0.25">
      <c r="B41" s="89"/>
      <c r="C41" s="123"/>
      <c r="D41" s="47"/>
      <c r="E41" s="40"/>
      <c r="F41" s="43"/>
      <c r="G41" s="43"/>
      <c r="H41" s="41"/>
      <c r="I41" s="42"/>
      <c r="J41" s="42"/>
      <c r="K41" s="84"/>
      <c r="L41" s="45"/>
      <c r="M41" s="43"/>
      <c r="N41" s="42"/>
      <c r="O41" s="42"/>
      <c r="P41" s="42"/>
      <c r="Q41" s="42"/>
      <c r="R41" s="42"/>
      <c r="S41" s="42"/>
      <c r="T41" s="42"/>
      <c r="U41" s="67"/>
      <c r="V41" s="220"/>
      <c r="W41" s="48"/>
      <c r="X41" s="49"/>
      <c r="Y41" s="43"/>
      <c r="Z41" s="49"/>
      <c r="AA41" s="43"/>
      <c r="AB41" s="43"/>
      <c r="AC41" s="49"/>
      <c r="AE41" s="43"/>
      <c r="AF41" s="69"/>
      <c r="AI41" s="46"/>
      <c r="AJ41" s="138"/>
      <c r="AK41" s="138"/>
      <c r="AL41" s="138"/>
      <c r="AM41" s="42"/>
      <c r="AO41" s="42"/>
      <c r="AQ41" s="43"/>
      <c r="AR41" s="43"/>
      <c r="AS41" s="44"/>
      <c r="AT41" s="44"/>
      <c r="AU41" s="44"/>
      <c r="AW41" s="42"/>
      <c r="AX41" s="42"/>
      <c r="AY41" s="45"/>
      <c r="AZ41" s="47"/>
      <c r="BG41" s="43"/>
      <c r="BI41" s="43"/>
      <c r="BJ41" s="43"/>
      <c r="BK41" s="43"/>
      <c r="BL41" s="43"/>
      <c r="BM41" s="43"/>
      <c r="BO41" s="43"/>
      <c r="BR41" s="43"/>
      <c r="BS41" s="43"/>
      <c r="BW41" s="43"/>
      <c r="CC41" s="43"/>
      <c r="CE41" s="43"/>
      <c r="CF41" s="43"/>
      <c r="CH41" s="43"/>
      <c r="CK41" s="43"/>
    </row>
    <row r="42" spans="2:89" x14ac:dyDescent="0.25">
      <c r="B42" s="89"/>
      <c r="C42" s="123"/>
      <c r="D42" s="47"/>
      <c r="E42" s="40"/>
      <c r="F42" s="43"/>
      <c r="G42" s="43"/>
      <c r="H42" s="41"/>
      <c r="I42" s="42"/>
      <c r="J42" s="42"/>
      <c r="K42" s="84"/>
      <c r="L42" s="45"/>
      <c r="M42" s="43"/>
      <c r="N42" s="42"/>
      <c r="O42" s="42"/>
      <c r="P42" s="42"/>
      <c r="Q42" s="42"/>
      <c r="R42" s="42"/>
      <c r="S42" s="42"/>
      <c r="T42" s="42"/>
      <c r="U42" s="67"/>
      <c r="V42" s="220"/>
      <c r="W42" s="48"/>
      <c r="X42" s="49"/>
      <c r="Y42" s="43"/>
      <c r="Z42" s="49"/>
      <c r="AA42" s="43"/>
      <c r="AB42" s="43"/>
      <c r="AC42" s="49"/>
      <c r="AE42" s="43"/>
      <c r="AF42" s="69"/>
      <c r="AI42" s="46"/>
      <c r="AJ42" s="138"/>
      <c r="AK42" s="138"/>
      <c r="AL42" s="138"/>
      <c r="AM42" s="42"/>
      <c r="AO42" s="42"/>
      <c r="AQ42" s="43"/>
      <c r="AR42" s="43"/>
      <c r="AS42" s="44"/>
      <c r="AT42" s="44"/>
      <c r="AU42" s="44"/>
      <c r="AW42" s="42"/>
      <c r="AX42" s="42"/>
      <c r="AY42" s="45"/>
      <c r="AZ42" s="47"/>
      <c r="BG42" s="43"/>
      <c r="BI42" s="43"/>
      <c r="BJ42" s="43"/>
      <c r="BK42" s="43"/>
      <c r="BL42" s="43"/>
      <c r="BM42" s="43"/>
      <c r="BO42" s="43"/>
      <c r="BR42" s="43"/>
      <c r="BS42" s="43"/>
      <c r="BW42" s="43"/>
      <c r="CC42" s="43"/>
      <c r="CE42" s="43"/>
      <c r="CF42" s="43"/>
      <c r="CH42" s="43"/>
      <c r="CK42" s="43"/>
    </row>
    <row r="43" spans="2:89" x14ac:dyDescent="0.25">
      <c r="B43" s="89"/>
      <c r="C43" s="123"/>
      <c r="D43" s="47"/>
      <c r="E43" s="40"/>
      <c r="F43" s="43"/>
      <c r="G43" s="43"/>
      <c r="H43" s="41"/>
      <c r="I43" s="42"/>
      <c r="J43" s="42"/>
      <c r="K43" s="84"/>
      <c r="L43" s="45"/>
      <c r="M43" s="43"/>
      <c r="N43" s="42"/>
      <c r="O43" s="42"/>
      <c r="P43" s="42"/>
      <c r="Q43" s="42"/>
      <c r="R43" s="42"/>
      <c r="S43" s="42"/>
      <c r="T43" s="42"/>
      <c r="U43" s="67"/>
      <c r="V43" s="220"/>
      <c r="W43" s="48"/>
      <c r="X43" s="49"/>
      <c r="Y43" s="43"/>
      <c r="Z43" s="49"/>
      <c r="AA43" s="43"/>
      <c r="AB43" s="43"/>
      <c r="AC43" s="49"/>
      <c r="AE43" s="43"/>
      <c r="AF43" s="69"/>
      <c r="AI43" s="46"/>
      <c r="AJ43" s="138"/>
      <c r="AK43" s="138"/>
      <c r="AL43" s="138"/>
      <c r="AM43" s="42"/>
      <c r="AO43" s="42"/>
      <c r="AQ43" s="43"/>
      <c r="AR43" s="43"/>
      <c r="AS43" s="44"/>
      <c r="AT43" s="44"/>
      <c r="AU43" s="44"/>
      <c r="AW43" s="42"/>
      <c r="AX43" s="42"/>
      <c r="AY43" s="45"/>
      <c r="AZ43" s="47"/>
      <c r="BG43" s="43"/>
      <c r="BI43" s="43"/>
      <c r="BJ43" s="43"/>
      <c r="BK43" s="43"/>
      <c r="BL43" s="43"/>
      <c r="BM43" s="43"/>
      <c r="BO43" s="43"/>
      <c r="BR43" s="43"/>
      <c r="BS43" s="43"/>
      <c r="BW43" s="43"/>
      <c r="CC43" s="43"/>
      <c r="CE43" s="43"/>
      <c r="CF43" s="43"/>
      <c r="CH43" s="43"/>
      <c r="CK43" s="43"/>
    </row>
    <row r="44" spans="2:89" x14ac:dyDescent="0.25">
      <c r="B44" s="89"/>
      <c r="C44" s="123"/>
      <c r="D44" s="47"/>
      <c r="E44" s="40"/>
      <c r="F44" s="43"/>
      <c r="G44" s="43"/>
      <c r="H44" s="41"/>
      <c r="I44" s="42"/>
      <c r="J44" s="42"/>
      <c r="K44" s="84"/>
      <c r="L44" s="45"/>
      <c r="M44" s="43"/>
      <c r="N44" s="42"/>
      <c r="O44" s="42"/>
      <c r="P44" s="223"/>
      <c r="Q44" s="42"/>
      <c r="R44" s="42"/>
      <c r="S44" s="42"/>
      <c r="T44" s="42"/>
      <c r="U44" s="67"/>
      <c r="V44" s="220"/>
      <c r="W44" s="48"/>
      <c r="X44" s="49"/>
      <c r="Y44" s="43"/>
      <c r="Z44" s="49"/>
      <c r="AA44" s="43"/>
      <c r="AB44" s="43"/>
      <c r="AC44" s="49"/>
      <c r="AE44" s="43"/>
      <c r="AF44" s="69"/>
      <c r="AI44" s="46"/>
      <c r="AJ44" s="138"/>
      <c r="AK44" s="138"/>
      <c r="AL44" s="138"/>
      <c r="AM44" s="42"/>
      <c r="AO44" s="42"/>
      <c r="AQ44" s="43"/>
      <c r="AR44" s="43"/>
      <c r="AS44" s="44"/>
      <c r="AT44" s="44"/>
      <c r="AU44" s="44"/>
      <c r="AW44" s="42"/>
      <c r="AX44" s="42"/>
      <c r="AY44" s="45"/>
      <c r="AZ44" s="47"/>
      <c r="BG44" s="43"/>
      <c r="BI44" s="43"/>
      <c r="BJ44" s="43"/>
      <c r="BK44" s="43"/>
      <c r="BL44" s="43"/>
      <c r="BM44" s="43"/>
      <c r="BO44" s="43"/>
      <c r="BR44" s="43"/>
      <c r="BS44" s="43"/>
      <c r="BW44" s="43"/>
      <c r="CC44" s="43"/>
      <c r="CE44" s="43"/>
      <c r="CF44" s="43"/>
      <c r="CH44" s="43"/>
      <c r="CK44" s="43"/>
    </row>
    <row r="45" spans="2:89" x14ac:dyDescent="0.25">
      <c r="B45" s="89"/>
      <c r="C45" s="123"/>
      <c r="D45" s="47"/>
      <c r="E45" s="40"/>
      <c r="F45" s="43"/>
      <c r="G45" s="43"/>
      <c r="H45" s="41"/>
      <c r="I45" s="42"/>
      <c r="J45" s="42"/>
      <c r="K45" s="84"/>
      <c r="L45" s="45"/>
      <c r="M45" s="43"/>
      <c r="N45" s="42"/>
      <c r="O45" s="42"/>
      <c r="P45" s="223"/>
      <c r="Q45" s="42"/>
      <c r="R45" s="42"/>
      <c r="S45" s="42"/>
      <c r="T45" s="42"/>
      <c r="U45" s="67"/>
      <c r="V45" s="220"/>
      <c r="W45" s="48"/>
      <c r="X45" s="49"/>
      <c r="Y45" s="43"/>
      <c r="Z45" s="49"/>
      <c r="AA45" s="43"/>
      <c r="AB45" s="43"/>
      <c r="AC45" s="49"/>
      <c r="AE45" s="43"/>
      <c r="AF45" s="69"/>
      <c r="AI45" s="46"/>
      <c r="AJ45" s="138"/>
      <c r="AK45" s="138"/>
      <c r="AL45" s="138"/>
      <c r="AM45" s="42"/>
      <c r="AO45" s="42"/>
      <c r="AQ45" s="43"/>
      <c r="AR45" s="43"/>
      <c r="AS45" s="44"/>
      <c r="AT45" s="44"/>
      <c r="AU45" s="44"/>
      <c r="AW45" s="42"/>
      <c r="AX45" s="42"/>
      <c r="AY45" s="45"/>
      <c r="AZ45" s="47"/>
      <c r="BG45" s="43"/>
      <c r="BI45" s="43"/>
      <c r="BJ45" s="43"/>
      <c r="BK45" s="43"/>
      <c r="BL45" s="43"/>
      <c r="BM45" s="43"/>
      <c r="BO45" s="43"/>
      <c r="BR45" s="43"/>
      <c r="BS45" s="43"/>
      <c r="BW45" s="43"/>
      <c r="CC45" s="43"/>
      <c r="CE45" s="43"/>
      <c r="CF45" s="43"/>
      <c r="CH45" s="43"/>
      <c r="CK45" s="43"/>
    </row>
    <row r="46" spans="2:89" x14ac:dyDescent="0.25">
      <c r="B46" s="187"/>
      <c r="C46" s="125"/>
      <c r="D46" s="47"/>
      <c r="E46" s="188"/>
      <c r="F46" s="144"/>
      <c r="G46" s="144"/>
      <c r="H46" s="183"/>
      <c r="I46" s="204"/>
      <c r="J46" s="204"/>
      <c r="K46" s="84"/>
      <c r="L46" s="45"/>
      <c r="M46" s="206"/>
      <c r="N46" s="42"/>
      <c r="O46" s="42"/>
      <c r="P46" s="42"/>
      <c r="Q46" s="42"/>
      <c r="R46" s="42"/>
      <c r="S46" s="227"/>
      <c r="T46" s="42"/>
      <c r="U46" s="185"/>
      <c r="V46" s="220"/>
      <c r="W46" s="48"/>
      <c r="X46" s="49"/>
      <c r="Y46" s="43"/>
      <c r="Z46" s="49"/>
      <c r="AA46" s="43"/>
      <c r="AB46" s="43"/>
      <c r="AC46" s="49"/>
      <c r="AE46" s="43"/>
      <c r="AF46" s="69"/>
      <c r="AG46" s="69"/>
      <c r="AH46" s="135"/>
      <c r="AI46" s="46"/>
      <c r="AJ46" s="138"/>
      <c r="AK46" s="186"/>
      <c r="AL46" s="186"/>
      <c r="AM46" s="74"/>
      <c r="AN46" s="74"/>
      <c r="AO46" s="74"/>
      <c r="AP46" s="74"/>
      <c r="AQ46" s="81"/>
      <c r="AR46" s="81"/>
      <c r="AS46" s="44"/>
      <c r="AT46" s="82"/>
      <c r="AU46" s="44"/>
      <c r="AV46" s="81"/>
      <c r="AW46" s="74"/>
      <c r="AX46" s="74"/>
      <c r="AY46" s="74"/>
      <c r="AZ46" s="83"/>
      <c r="BG46" s="43"/>
      <c r="BI46" s="43"/>
      <c r="BJ46" s="43"/>
      <c r="BK46" s="43"/>
      <c r="BL46" s="43"/>
      <c r="BM46" s="43"/>
      <c r="BO46" s="43"/>
      <c r="BR46" s="43"/>
      <c r="BS46" s="43"/>
      <c r="BW46" s="43"/>
      <c r="CC46" s="43"/>
      <c r="CE46" s="43"/>
      <c r="CF46" s="43"/>
      <c r="CH46" s="43"/>
      <c r="CK46" s="43"/>
    </row>
    <row r="47" spans="2:89" x14ac:dyDescent="0.25">
      <c r="B47" s="89"/>
      <c r="C47" s="123"/>
      <c r="D47" s="47"/>
      <c r="E47" s="40"/>
      <c r="F47" s="43"/>
      <c r="G47" s="43"/>
      <c r="H47" s="41"/>
      <c r="I47" s="42"/>
      <c r="J47" s="42"/>
      <c r="K47" s="84"/>
      <c r="L47" s="45"/>
      <c r="M47" s="43"/>
      <c r="N47" s="42"/>
      <c r="O47" s="42"/>
      <c r="P47" s="223"/>
      <c r="Q47" s="42"/>
      <c r="R47" s="42"/>
      <c r="S47" s="42"/>
      <c r="T47" s="42"/>
      <c r="U47" s="67"/>
      <c r="V47" s="220"/>
      <c r="W47" s="48"/>
      <c r="X47" s="49"/>
      <c r="Y47" s="43"/>
      <c r="Z47" s="49"/>
      <c r="AA47" s="43"/>
      <c r="AB47" s="43"/>
      <c r="AC47" s="49"/>
      <c r="AE47" s="43"/>
      <c r="AF47" s="69"/>
      <c r="AI47" s="46"/>
      <c r="AJ47" s="138"/>
      <c r="AK47" s="138"/>
      <c r="AL47" s="138"/>
      <c r="AM47" s="42"/>
      <c r="AO47" s="42"/>
      <c r="AQ47" s="43"/>
      <c r="AR47" s="43"/>
      <c r="AS47" s="44"/>
      <c r="AT47" s="44"/>
      <c r="AU47" s="44"/>
      <c r="AW47" s="42"/>
      <c r="AX47" s="42"/>
      <c r="AY47" s="45"/>
      <c r="AZ47" s="47"/>
      <c r="BG47" s="43"/>
      <c r="BI47" s="43"/>
      <c r="BJ47" s="43"/>
      <c r="BK47" s="43"/>
      <c r="BL47" s="43"/>
      <c r="BM47" s="43"/>
      <c r="BO47" s="43"/>
      <c r="BR47" s="43"/>
      <c r="BS47" s="43"/>
      <c r="BW47" s="43"/>
      <c r="CC47" s="43"/>
      <c r="CE47" s="43"/>
      <c r="CF47" s="43"/>
      <c r="CH47" s="43"/>
      <c r="CK47" s="43"/>
    </row>
    <row r="48" spans="2:89" x14ac:dyDescent="0.25">
      <c r="B48" s="89"/>
      <c r="C48" s="123"/>
      <c r="D48" s="47"/>
      <c r="E48" s="40"/>
      <c r="F48" s="43"/>
      <c r="G48" s="43"/>
      <c r="H48" s="41"/>
      <c r="I48" s="42"/>
      <c r="J48" s="42"/>
      <c r="K48" s="84"/>
      <c r="L48" s="45"/>
      <c r="M48" s="43"/>
      <c r="N48" s="42"/>
      <c r="O48" s="42"/>
      <c r="P48" s="42"/>
      <c r="Q48" s="42"/>
      <c r="R48" s="42"/>
      <c r="S48" s="42"/>
      <c r="T48" s="42"/>
      <c r="U48" s="67"/>
      <c r="V48" s="220"/>
      <c r="W48" s="48"/>
      <c r="X48" s="49"/>
      <c r="Y48" s="43"/>
      <c r="Z48" s="49"/>
      <c r="AA48" s="43"/>
      <c r="AB48" s="43"/>
      <c r="AC48" s="49"/>
      <c r="AE48" s="43"/>
      <c r="AF48" s="69"/>
      <c r="AI48" s="46"/>
      <c r="AJ48" s="138"/>
      <c r="AK48" s="138"/>
      <c r="AL48" s="138"/>
      <c r="AM48" s="42"/>
      <c r="AO48" s="42"/>
      <c r="AQ48" s="43"/>
      <c r="AR48" s="43"/>
      <c r="AS48" s="44"/>
      <c r="AT48" s="44"/>
      <c r="AU48" s="44"/>
      <c r="AW48" s="42"/>
      <c r="AX48" s="42"/>
      <c r="AY48" s="45"/>
      <c r="AZ48" s="47"/>
      <c r="BG48" s="43"/>
      <c r="BI48" s="43"/>
      <c r="BJ48" s="43"/>
      <c r="BK48" s="43"/>
      <c r="BL48" s="43"/>
      <c r="BM48" s="43"/>
      <c r="BO48" s="43"/>
      <c r="BR48" s="43"/>
      <c r="BS48" s="43"/>
      <c r="BW48" s="43"/>
      <c r="CC48" s="43"/>
      <c r="CE48" s="43"/>
      <c r="CF48" s="43"/>
      <c r="CH48" s="43"/>
      <c r="CK48" s="43"/>
    </row>
    <row r="49" spans="2:89" x14ac:dyDescent="0.25">
      <c r="B49" s="89"/>
      <c r="C49" s="123"/>
      <c r="D49" s="47"/>
      <c r="E49" s="40"/>
      <c r="F49" s="43"/>
      <c r="G49" s="43"/>
      <c r="H49" s="41"/>
      <c r="I49" s="42"/>
      <c r="J49" s="42"/>
      <c r="K49" s="84"/>
      <c r="L49" s="45"/>
      <c r="M49" s="43"/>
      <c r="N49" s="42"/>
      <c r="O49" s="42"/>
      <c r="P49" s="42"/>
      <c r="Q49" s="42"/>
      <c r="R49" s="42"/>
      <c r="S49" s="42"/>
      <c r="T49" s="42"/>
      <c r="U49" s="67"/>
      <c r="V49" s="220"/>
      <c r="W49" s="48"/>
      <c r="X49" s="49"/>
      <c r="Y49" s="43"/>
      <c r="Z49" s="49"/>
      <c r="AA49" s="43"/>
      <c r="AB49" s="43"/>
      <c r="AC49" s="49"/>
      <c r="AE49" s="43"/>
      <c r="AF49" s="69"/>
      <c r="AI49" s="46"/>
      <c r="AJ49" s="138"/>
      <c r="AK49" s="138"/>
      <c r="AL49" s="138"/>
      <c r="AM49" s="42"/>
      <c r="AO49" s="42"/>
      <c r="AQ49" s="43"/>
      <c r="AR49" s="43"/>
      <c r="AS49" s="44"/>
      <c r="AT49" s="44"/>
      <c r="AU49" s="44"/>
      <c r="AW49" s="42"/>
      <c r="AX49" s="42"/>
      <c r="AY49" s="45"/>
      <c r="AZ49" s="47"/>
      <c r="BG49" s="43"/>
      <c r="BI49" s="43"/>
      <c r="BJ49" s="43"/>
      <c r="BK49" s="43"/>
      <c r="BL49" s="43"/>
      <c r="BM49" s="43"/>
      <c r="BO49" s="43"/>
      <c r="BR49" s="43"/>
      <c r="BS49" s="43"/>
      <c r="BW49" s="43"/>
      <c r="CC49" s="43"/>
      <c r="CE49" s="43"/>
      <c r="CF49" s="43"/>
      <c r="CH49" s="43"/>
      <c r="CK49" s="43"/>
    </row>
    <row r="50" spans="2:89" x14ac:dyDescent="0.25">
      <c r="B50" s="89"/>
      <c r="C50" s="123"/>
      <c r="D50" s="47"/>
      <c r="E50" s="40"/>
      <c r="F50" s="43"/>
      <c r="G50" s="43"/>
      <c r="H50" s="41"/>
      <c r="I50" s="42"/>
      <c r="J50" s="42"/>
      <c r="K50" s="84"/>
      <c r="L50" s="45"/>
      <c r="M50" s="43"/>
      <c r="N50" s="42"/>
      <c r="O50" s="42"/>
      <c r="P50" s="42"/>
      <c r="Q50" s="42"/>
      <c r="R50" s="42"/>
      <c r="S50" s="42"/>
      <c r="T50" s="42"/>
      <c r="U50" s="67"/>
      <c r="V50" s="220"/>
      <c r="W50" s="48"/>
      <c r="X50" s="49"/>
      <c r="Y50" s="43"/>
      <c r="Z50" s="49"/>
      <c r="AA50" s="43"/>
      <c r="AB50" s="43"/>
      <c r="AC50" s="49"/>
      <c r="AE50" s="43"/>
      <c r="AF50" s="69"/>
      <c r="AI50" s="46"/>
      <c r="AJ50" s="138"/>
      <c r="AK50" s="138"/>
      <c r="AL50" s="138"/>
      <c r="AM50" s="42"/>
      <c r="AO50" s="42"/>
      <c r="AQ50" s="43"/>
      <c r="AR50" s="43"/>
      <c r="AS50" s="44"/>
      <c r="AT50" s="44"/>
      <c r="AU50" s="44"/>
      <c r="AW50" s="42"/>
      <c r="AX50" s="42"/>
      <c r="AY50" s="45"/>
      <c r="AZ50" s="47"/>
      <c r="BG50" s="43"/>
      <c r="BI50" s="43"/>
      <c r="BJ50" s="43"/>
      <c r="BK50" s="43"/>
      <c r="BL50" s="43"/>
      <c r="BM50" s="43"/>
      <c r="BO50" s="43"/>
      <c r="BR50" s="43"/>
      <c r="BS50" s="43"/>
      <c r="BW50" s="43"/>
      <c r="CC50" s="43"/>
      <c r="CE50" s="43"/>
      <c r="CF50" s="43"/>
      <c r="CH50" s="43"/>
      <c r="CK50" s="43"/>
    </row>
    <row r="51" spans="2:89" ht="15.75" customHeight="1" x14ac:dyDescent="0.25">
      <c r="B51" s="89"/>
      <c r="C51" s="123"/>
      <c r="D51" s="47"/>
      <c r="E51" s="40"/>
      <c r="F51" s="43"/>
      <c r="G51" s="43"/>
      <c r="H51" s="41"/>
      <c r="I51" s="42"/>
      <c r="J51" s="42"/>
      <c r="K51" s="84"/>
      <c r="L51" s="45"/>
      <c r="M51" s="43"/>
      <c r="N51" s="42"/>
      <c r="O51" s="42"/>
      <c r="P51" s="223"/>
      <c r="Q51" s="42"/>
      <c r="R51" s="42"/>
      <c r="S51" s="42"/>
      <c r="T51" s="42"/>
      <c r="U51" s="67"/>
      <c r="V51" s="220"/>
      <c r="W51" s="48"/>
      <c r="X51" s="49"/>
      <c r="Y51" s="43"/>
      <c r="Z51" s="49"/>
      <c r="AA51" s="43"/>
      <c r="AB51" s="43"/>
      <c r="AC51" s="49"/>
      <c r="AE51" s="43"/>
      <c r="AF51" s="69"/>
      <c r="AI51" s="46"/>
      <c r="AJ51" s="138"/>
      <c r="AK51" s="138"/>
      <c r="AL51" s="138"/>
      <c r="AM51" s="42"/>
      <c r="AO51" s="42"/>
      <c r="AQ51" s="43"/>
      <c r="AR51" s="43"/>
      <c r="AS51" s="44"/>
      <c r="AT51" s="44"/>
      <c r="AU51" s="44"/>
      <c r="AW51" s="42"/>
      <c r="AX51" s="42"/>
      <c r="AY51" s="45"/>
      <c r="AZ51" s="47"/>
      <c r="BG51" s="43"/>
      <c r="BI51" s="43"/>
      <c r="BJ51" s="43"/>
      <c r="BK51" s="43"/>
      <c r="BL51" s="43"/>
      <c r="BM51" s="43"/>
      <c r="BO51" s="43"/>
      <c r="BR51" s="43"/>
      <c r="BS51" s="43"/>
      <c r="BW51" s="43"/>
      <c r="CC51" s="43"/>
      <c r="CE51" s="43"/>
      <c r="CF51" s="43"/>
      <c r="CH51" s="43"/>
      <c r="CK51" s="43"/>
    </row>
    <row r="52" spans="2:89" x14ac:dyDescent="0.25">
      <c r="B52" s="89"/>
      <c r="C52" s="123"/>
      <c r="D52" s="47"/>
      <c r="E52" s="40"/>
      <c r="F52" s="43"/>
      <c r="G52" s="43"/>
      <c r="H52" s="41"/>
      <c r="I52" s="42"/>
      <c r="J52" s="42"/>
      <c r="K52" s="84"/>
      <c r="L52" s="45"/>
      <c r="M52" s="43"/>
      <c r="N52" s="42"/>
      <c r="O52" s="42"/>
      <c r="P52" s="223"/>
      <c r="Q52" s="42"/>
      <c r="R52" s="42"/>
      <c r="S52" s="42"/>
      <c r="T52" s="42"/>
      <c r="U52" s="67"/>
      <c r="V52" s="220"/>
      <c r="W52" s="48"/>
      <c r="X52" s="49"/>
      <c r="Y52" s="43"/>
      <c r="Z52" s="49"/>
      <c r="AA52" s="43"/>
      <c r="AB52" s="43"/>
      <c r="AC52" s="49"/>
      <c r="AE52" s="43"/>
      <c r="AF52" s="69"/>
      <c r="AI52" s="46"/>
      <c r="AJ52" s="138"/>
      <c r="AK52" s="138"/>
      <c r="AL52" s="138"/>
      <c r="AM52" s="42"/>
      <c r="AO52" s="42"/>
      <c r="AQ52" s="43"/>
      <c r="AR52" s="43"/>
      <c r="AS52" s="44"/>
      <c r="AT52" s="44"/>
      <c r="AU52" s="44"/>
      <c r="AW52" s="42"/>
      <c r="AX52" s="42"/>
      <c r="AY52" s="45"/>
      <c r="AZ52" s="47"/>
      <c r="BG52" s="43"/>
      <c r="BI52" s="43"/>
      <c r="BJ52" s="43"/>
      <c r="BK52" s="43"/>
      <c r="BL52" s="43"/>
      <c r="BM52" s="43"/>
      <c r="BO52" s="43"/>
      <c r="BR52" s="43"/>
      <c r="BS52" s="43"/>
      <c r="BW52" s="43"/>
      <c r="CC52" s="43"/>
      <c r="CE52" s="43"/>
      <c r="CF52" s="43"/>
      <c r="CH52" s="43"/>
      <c r="CK52" s="43"/>
    </row>
    <row r="53" spans="2:89" x14ac:dyDescent="0.25">
      <c r="B53" s="89"/>
      <c r="C53" s="123"/>
      <c r="D53" s="47"/>
      <c r="E53" s="40"/>
      <c r="F53" s="43"/>
      <c r="G53" s="43"/>
      <c r="H53" s="41"/>
      <c r="I53" s="42"/>
      <c r="J53" s="42"/>
      <c r="K53" s="84"/>
      <c r="L53" s="45"/>
      <c r="M53" s="43"/>
      <c r="N53" s="42"/>
      <c r="O53" s="42"/>
      <c r="P53" s="223"/>
      <c r="Q53" s="42"/>
      <c r="R53" s="42"/>
      <c r="S53" s="42"/>
      <c r="T53" s="42"/>
      <c r="U53" s="67"/>
      <c r="V53" s="220"/>
      <c r="W53" s="48"/>
      <c r="X53" s="49"/>
      <c r="Y53" s="43"/>
      <c r="Z53" s="49"/>
      <c r="AA53" s="43"/>
      <c r="AB53" s="43"/>
      <c r="AC53" s="49"/>
      <c r="AE53" s="43"/>
      <c r="AF53" s="69"/>
      <c r="AI53" s="46"/>
      <c r="AJ53" s="138"/>
      <c r="AK53" s="138"/>
      <c r="AL53" s="138"/>
      <c r="AM53" s="42"/>
      <c r="AO53" s="42"/>
      <c r="AQ53" s="43"/>
      <c r="AR53" s="43"/>
      <c r="AS53" s="44"/>
      <c r="AT53" s="44"/>
      <c r="AU53" s="44"/>
      <c r="AW53" s="42"/>
      <c r="AX53" s="42"/>
      <c r="AY53" s="45"/>
      <c r="AZ53" s="47"/>
      <c r="BG53" s="43"/>
      <c r="BI53" s="43"/>
      <c r="BJ53" s="43"/>
      <c r="BK53" s="43"/>
      <c r="BL53" s="43"/>
      <c r="BM53" s="43"/>
      <c r="BO53" s="43"/>
      <c r="BR53" s="43"/>
      <c r="BS53" s="43"/>
      <c r="BW53" s="43"/>
      <c r="CC53" s="43"/>
      <c r="CE53" s="43"/>
      <c r="CF53" s="43"/>
      <c r="CH53" s="43"/>
      <c r="CK53" s="43"/>
    </row>
    <row r="54" spans="2:89" x14ac:dyDescent="0.25">
      <c r="B54" s="89"/>
      <c r="C54" s="123"/>
      <c r="D54" s="47"/>
      <c r="E54" s="40"/>
      <c r="F54" s="43"/>
      <c r="G54" s="43"/>
      <c r="H54" s="41"/>
      <c r="I54" s="42"/>
      <c r="J54" s="42"/>
      <c r="K54" s="84"/>
      <c r="L54" s="45"/>
      <c r="M54" s="43"/>
      <c r="N54" s="42"/>
      <c r="O54" s="42"/>
      <c r="P54" s="42"/>
      <c r="Q54" s="42"/>
      <c r="R54" s="42"/>
      <c r="S54" s="42"/>
      <c r="T54" s="42"/>
      <c r="U54" s="67"/>
      <c r="V54" s="220"/>
      <c r="W54" s="48"/>
      <c r="X54" s="49"/>
      <c r="Y54" s="43"/>
      <c r="Z54" s="49"/>
      <c r="AA54" s="43"/>
      <c r="AB54" s="43"/>
      <c r="AC54" s="49"/>
      <c r="AE54" s="43"/>
      <c r="AF54" s="69"/>
      <c r="AI54" s="46"/>
      <c r="AJ54" s="138"/>
      <c r="AK54" s="138"/>
      <c r="AL54" s="138"/>
      <c r="AM54" s="42"/>
      <c r="AO54" s="42"/>
      <c r="AQ54" s="43"/>
      <c r="AR54" s="43"/>
      <c r="AS54" s="44"/>
      <c r="AT54" s="44"/>
      <c r="AU54" s="44"/>
      <c r="AW54" s="42"/>
      <c r="AX54" s="42"/>
      <c r="AY54" s="45"/>
      <c r="AZ54" s="47"/>
      <c r="BG54" s="43"/>
      <c r="BI54" s="43"/>
      <c r="BJ54" s="43"/>
      <c r="BK54" s="43"/>
      <c r="BL54" s="43"/>
      <c r="BM54" s="43"/>
      <c r="BO54" s="43"/>
      <c r="BR54" s="43"/>
      <c r="BS54" s="43"/>
      <c r="BW54" s="43"/>
      <c r="CC54" s="43"/>
      <c r="CE54" s="43"/>
      <c r="CF54" s="43"/>
      <c r="CH54" s="43"/>
      <c r="CK54" s="43"/>
    </row>
    <row r="55" spans="2:89" x14ac:dyDescent="0.25">
      <c r="B55" s="89"/>
      <c r="C55" s="123"/>
      <c r="D55" s="47"/>
      <c r="E55" s="40"/>
      <c r="F55" s="43"/>
      <c r="G55" s="43"/>
      <c r="H55" s="41"/>
      <c r="I55" s="42"/>
      <c r="J55" s="42"/>
      <c r="K55" s="84"/>
      <c r="L55" s="45"/>
      <c r="M55" s="43"/>
      <c r="N55" s="42"/>
      <c r="O55" s="42"/>
      <c r="P55" s="223"/>
      <c r="Q55" s="42"/>
      <c r="R55" s="42"/>
      <c r="S55" s="42"/>
      <c r="T55" s="42"/>
      <c r="U55" s="67"/>
      <c r="V55" s="220"/>
      <c r="W55" s="48"/>
      <c r="X55" s="49"/>
      <c r="Y55" s="43"/>
      <c r="Z55" s="49"/>
      <c r="AA55" s="43"/>
      <c r="AB55" s="43"/>
      <c r="AC55" s="49"/>
      <c r="AE55" s="43"/>
      <c r="AF55" s="69"/>
      <c r="AI55" s="46"/>
      <c r="AJ55" s="138"/>
      <c r="AK55" s="138"/>
      <c r="AL55" s="138"/>
      <c r="AM55" s="42"/>
      <c r="AO55" s="42"/>
      <c r="AQ55" s="43"/>
      <c r="AR55" s="43"/>
      <c r="AS55" s="44"/>
      <c r="AT55" s="44"/>
      <c r="AU55" s="44"/>
      <c r="AW55" s="42"/>
      <c r="AX55" s="42"/>
      <c r="AY55" s="45"/>
      <c r="AZ55" s="47"/>
      <c r="BG55" s="43"/>
      <c r="BI55" s="43"/>
      <c r="BJ55" s="43"/>
      <c r="BK55" s="43"/>
      <c r="BL55" s="43"/>
      <c r="BM55" s="43"/>
      <c r="BO55" s="43"/>
      <c r="BR55" s="43"/>
      <c r="BS55" s="43"/>
      <c r="BW55" s="43"/>
      <c r="CC55" s="43"/>
      <c r="CE55" s="43"/>
      <c r="CF55" s="43"/>
      <c r="CH55" s="43"/>
      <c r="CK55" s="43"/>
    </row>
    <row r="56" spans="2:89" x14ac:dyDescent="0.25">
      <c r="B56" s="89"/>
      <c r="C56" s="123"/>
      <c r="D56" s="47"/>
      <c r="E56" s="40"/>
      <c r="F56" s="43"/>
      <c r="G56" s="43"/>
      <c r="H56" s="41"/>
      <c r="I56" s="42"/>
      <c r="J56" s="42"/>
      <c r="K56" s="84"/>
      <c r="L56" s="45"/>
      <c r="M56" s="43"/>
      <c r="N56" s="42"/>
      <c r="O56" s="42"/>
      <c r="P56" s="223"/>
      <c r="Q56" s="42"/>
      <c r="R56" s="42"/>
      <c r="S56" s="42"/>
      <c r="T56" s="42"/>
      <c r="U56" s="67"/>
      <c r="V56" s="220"/>
      <c r="W56" s="45"/>
      <c r="X56" s="49"/>
      <c r="Y56" s="49"/>
      <c r="Z56" s="49"/>
      <c r="AA56" s="43"/>
      <c r="AB56" s="43"/>
      <c r="AC56" s="49"/>
      <c r="AE56" s="43"/>
      <c r="AF56" s="69"/>
      <c r="AI56" s="46"/>
      <c r="AJ56" s="138"/>
      <c r="AK56" s="138"/>
      <c r="AL56" s="138"/>
      <c r="AM56" s="42"/>
      <c r="AO56" s="42"/>
      <c r="AQ56" s="43"/>
      <c r="AR56" s="43"/>
      <c r="AS56" s="44"/>
      <c r="AT56" s="44"/>
      <c r="AU56" s="44"/>
      <c r="AW56" s="42"/>
      <c r="AX56" s="42"/>
      <c r="AY56" s="45"/>
      <c r="AZ56" s="47"/>
      <c r="BG56" s="43"/>
      <c r="BI56" s="43"/>
      <c r="BJ56" s="43"/>
      <c r="BK56" s="43"/>
      <c r="BL56" s="43"/>
      <c r="BM56" s="43"/>
      <c r="BO56" s="43"/>
      <c r="BR56" s="43"/>
      <c r="BS56" s="43"/>
      <c r="BW56" s="43"/>
      <c r="CC56" s="43"/>
      <c r="CE56" s="43"/>
      <c r="CF56" s="43"/>
      <c r="CH56" s="43"/>
      <c r="CK56" s="43"/>
    </row>
    <row r="57" spans="2:89" x14ac:dyDescent="0.25">
      <c r="B57" s="89"/>
      <c r="C57" s="123"/>
      <c r="D57" s="47"/>
      <c r="E57" s="40"/>
      <c r="F57" s="43"/>
      <c r="G57" s="43"/>
      <c r="H57" s="41"/>
      <c r="I57" s="42"/>
      <c r="J57" s="42"/>
      <c r="K57" s="84"/>
      <c r="L57" s="45"/>
      <c r="M57" s="43"/>
      <c r="N57" s="42"/>
      <c r="O57" s="42"/>
      <c r="P57" s="223"/>
      <c r="Q57" s="42"/>
      <c r="R57" s="42"/>
      <c r="S57" s="42"/>
      <c r="T57" s="42"/>
      <c r="U57" s="67"/>
      <c r="V57" s="220"/>
      <c r="W57" s="48"/>
      <c r="X57" s="49"/>
      <c r="Y57" s="43"/>
      <c r="Z57" s="49"/>
      <c r="AA57" s="43"/>
      <c r="AB57" s="43"/>
      <c r="AC57" s="49"/>
      <c r="AE57" s="43"/>
      <c r="AF57" s="69"/>
      <c r="AI57" s="46"/>
      <c r="AJ57" s="138"/>
      <c r="AK57" s="138"/>
      <c r="AL57" s="138"/>
      <c r="AM57" s="42"/>
      <c r="AO57" s="42"/>
      <c r="AQ57" s="43"/>
      <c r="AR57" s="43"/>
      <c r="AS57" s="44"/>
      <c r="AT57" s="44"/>
      <c r="AU57" s="44"/>
      <c r="AW57" s="42"/>
      <c r="AX57" s="42"/>
      <c r="AY57" s="45"/>
      <c r="AZ57" s="47"/>
      <c r="BG57" s="43"/>
      <c r="BI57" s="43"/>
      <c r="BJ57" s="43"/>
      <c r="BK57" s="43"/>
      <c r="BL57" s="43"/>
      <c r="BM57" s="43"/>
      <c r="BO57" s="43"/>
      <c r="BR57" s="43"/>
      <c r="BS57" s="43"/>
      <c r="BW57" s="43"/>
      <c r="CC57" s="43"/>
      <c r="CE57" s="43"/>
      <c r="CF57" s="43"/>
      <c r="CH57" s="43"/>
      <c r="CK57" s="43"/>
    </row>
    <row r="58" spans="2:89" x14ac:dyDescent="0.25">
      <c r="B58" s="89"/>
      <c r="C58" s="123"/>
      <c r="D58" s="47"/>
      <c r="E58" s="40"/>
      <c r="F58" s="43"/>
      <c r="G58" s="43"/>
      <c r="H58" s="41"/>
      <c r="I58" s="42"/>
      <c r="J58" s="42"/>
      <c r="K58" s="84"/>
      <c r="L58" s="45"/>
      <c r="M58" s="43"/>
      <c r="N58" s="42"/>
      <c r="O58" s="42"/>
      <c r="P58" s="223"/>
      <c r="Q58" s="42"/>
      <c r="R58" s="42"/>
      <c r="S58" s="42"/>
      <c r="T58" s="42"/>
      <c r="U58" s="67"/>
      <c r="V58" s="220"/>
      <c r="W58" s="48"/>
      <c r="X58" s="49"/>
      <c r="Y58" s="43"/>
      <c r="Z58" s="49"/>
      <c r="AA58" s="43"/>
      <c r="AB58" s="43"/>
      <c r="AC58" s="49"/>
      <c r="AE58" s="43"/>
      <c r="AF58" s="69"/>
      <c r="AI58" s="46"/>
      <c r="AJ58" s="138"/>
      <c r="AK58" s="138"/>
      <c r="AL58" s="138"/>
      <c r="AM58" s="42"/>
      <c r="AO58" s="42"/>
      <c r="AQ58" s="43"/>
      <c r="AR58" s="43"/>
      <c r="AS58" s="44"/>
      <c r="AT58" s="44"/>
      <c r="AU58" s="44"/>
      <c r="AW58" s="42"/>
      <c r="AX58" s="42"/>
      <c r="AY58" s="45"/>
      <c r="AZ58" s="47"/>
      <c r="BG58" s="43"/>
      <c r="BI58" s="43"/>
      <c r="BJ58" s="43"/>
      <c r="BK58" s="43"/>
      <c r="BL58" s="43"/>
      <c r="BM58" s="43"/>
      <c r="BO58" s="43"/>
      <c r="BR58" s="43"/>
      <c r="BS58" s="43"/>
      <c r="BW58" s="43"/>
      <c r="CC58" s="43"/>
      <c r="CE58" s="43"/>
      <c r="CF58" s="43"/>
      <c r="CH58" s="43"/>
      <c r="CK58" s="43"/>
    </row>
    <row r="59" spans="2:89" x14ac:dyDescent="0.25">
      <c r="B59" s="89"/>
      <c r="C59" s="123"/>
      <c r="D59" s="47"/>
      <c r="E59" s="40"/>
      <c r="F59" s="43"/>
      <c r="G59" s="43"/>
      <c r="H59" s="41"/>
      <c r="I59" s="42"/>
      <c r="J59" s="42"/>
      <c r="K59" s="84"/>
      <c r="L59" s="45"/>
      <c r="M59" s="43"/>
      <c r="N59" s="42"/>
      <c r="O59" s="42"/>
      <c r="P59" s="223"/>
      <c r="Q59" s="42"/>
      <c r="R59" s="42"/>
      <c r="S59" s="42"/>
      <c r="T59" s="42"/>
      <c r="U59" s="67"/>
      <c r="V59" s="220"/>
      <c r="W59" s="48"/>
      <c r="X59" s="49"/>
      <c r="Y59" s="43"/>
      <c r="Z59" s="49"/>
      <c r="AA59" s="43"/>
      <c r="AB59" s="43"/>
      <c r="AC59" s="49"/>
      <c r="AE59" s="43"/>
      <c r="AF59" s="69"/>
      <c r="AI59" s="46"/>
      <c r="AJ59" s="138"/>
      <c r="AK59" s="138"/>
      <c r="AL59" s="138"/>
      <c r="AM59" s="42"/>
      <c r="AO59" s="42"/>
      <c r="AQ59" s="43"/>
      <c r="AR59" s="43"/>
      <c r="AS59" s="44"/>
      <c r="AT59" s="44"/>
      <c r="AU59" s="44"/>
      <c r="AW59" s="42"/>
      <c r="AX59" s="42"/>
      <c r="AY59" s="45"/>
      <c r="AZ59" s="47"/>
      <c r="BG59" s="43"/>
      <c r="BI59" s="43"/>
      <c r="BJ59" s="43"/>
      <c r="BK59" s="43"/>
      <c r="BL59" s="43"/>
      <c r="BM59" s="43"/>
      <c r="BO59" s="43"/>
      <c r="BR59" s="43"/>
      <c r="BS59" s="43"/>
      <c r="BW59" s="43"/>
      <c r="CC59" s="43"/>
      <c r="CE59" s="43"/>
      <c r="CF59" s="43"/>
      <c r="CH59" s="43"/>
      <c r="CK59" s="43"/>
    </row>
    <row r="60" spans="2:89" x14ac:dyDescent="0.25">
      <c r="B60" s="89"/>
      <c r="C60" s="123"/>
      <c r="D60" s="47"/>
      <c r="E60" s="40"/>
      <c r="F60" s="43"/>
      <c r="G60" s="43"/>
      <c r="H60" s="41"/>
      <c r="I60" s="42"/>
      <c r="J60" s="42"/>
      <c r="K60" s="84"/>
      <c r="L60" s="45"/>
      <c r="M60" s="43"/>
      <c r="N60" s="42"/>
      <c r="O60" s="42"/>
      <c r="P60" s="223"/>
      <c r="Q60" s="42"/>
      <c r="R60" s="42"/>
      <c r="S60" s="42"/>
      <c r="T60" s="42"/>
      <c r="U60" s="67"/>
      <c r="V60" s="220"/>
      <c r="W60" s="48"/>
      <c r="X60" s="49"/>
      <c r="Y60" s="43"/>
      <c r="Z60" s="49"/>
      <c r="AA60" s="43"/>
      <c r="AB60" s="43"/>
      <c r="AC60" s="49"/>
      <c r="AE60" s="43"/>
      <c r="AF60" s="69"/>
      <c r="AI60" s="46"/>
      <c r="AJ60" s="138"/>
      <c r="AK60" s="138"/>
      <c r="AL60" s="138"/>
      <c r="AM60" s="42"/>
      <c r="AO60" s="42"/>
      <c r="AQ60" s="43"/>
      <c r="AR60" s="43"/>
      <c r="AS60" s="44"/>
      <c r="AT60" s="44"/>
      <c r="AU60" s="44"/>
      <c r="AW60" s="42"/>
      <c r="AX60" s="42"/>
      <c r="AY60" s="45"/>
      <c r="AZ60" s="47"/>
      <c r="BG60" s="43"/>
      <c r="BI60" s="43"/>
      <c r="BJ60" s="43"/>
      <c r="BK60" s="43"/>
      <c r="BL60" s="43"/>
      <c r="BM60" s="43"/>
      <c r="BO60" s="43"/>
      <c r="BR60" s="43"/>
      <c r="BS60" s="43"/>
      <c r="BW60" s="43"/>
      <c r="CC60" s="43"/>
      <c r="CE60" s="43"/>
      <c r="CF60" s="43"/>
      <c r="CH60" s="43"/>
      <c r="CK60" s="43"/>
    </row>
    <row r="61" spans="2:89" x14ac:dyDescent="0.25">
      <c r="B61" s="89"/>
      <c r="C61" s="123"/>
      <c r="D61" s="47"/>
      <c r="E61" s="40"/>
      <c r="F61" s="43"/>
      <c r="G61" s="43"/>
      <c r="H61" s="41"/>
      <c r="I61" s="42"/>
      <c r="J61" s="42"/>
      <c r="K61" s="84"/>
      <c r="L61" s="45"/>
      <c r="M61" s="43"/>
      <c r="N61" s="42"/>
      <c r="O61" s="42"/>
      <c r="P61" s="223"/>
      <c r="Q61" s="42"/>
      <c r="R61" s="42"/>
      <c r="S61" s="42"/>
      <c r="T61" s="42"/>
      <c r="U61" s="67"/>
      <c r="V61" s="220"/>
      <c r="W61" s="48"/>
      <c r="X61" s="49"/>
      <c r="Y61" s="43"/>
      <c r="Z61" s="49"/>
      <c r="AA61" s="43"/>
      <c r="AB61" s="43"/>
      <c r="AC61" s="49"/>
      <c r="AE61" s="43"/>
      <c r="AF61" s="69"/>
      <c r="AI61" s="46"/>
      <c r="AJ61" s="138"/>
      <c r="AK61" s="138"/>
      <c r="AL61" s="138"/>
      <c r="AM61" s="42"/>
      <c r="AO61" s="42"/>
      <c r="AQ61" s="43"/>
      <c r="AR61" s="43"/>
      <c r="AS61" s="44"/>
      <c r="AT61" s="44"/>
      <c r="AU61" s="44"/>
      <c r="AW61" s="42"/>
      <c r="AX61" s="42"/>
      <c r="AY61" s="45"/>
      <c r="AZ61" s="47"/>
      <c r="BG61" s="43"/>
      <c r="BI61" s="43"/>
      <c r="BJ61" s="43"/>
      <c r="BK61" s="43"/>
      <c r="BL61" s="43"/>
      <c r="BM61" s="43"/>
      <c r="BO61" s="43"/>
      <c r="BR61" s="43"/>
      <c r="BS61" s="43"/>
      <c r="BW61" s="43"/>
      <c r="CC61" s="43"/>
      <c r="CE61" s="43"/>
      <c r="CF61" s="43"/>
      <c r="CH61" s="43"/>
      <c r="CK61" s="43"/>
    </row>
    <row r="62" spans="2:89" x14ac:dyDescent="0.25">
      <c r="B62" s="89"/>
      <c r="C62" s="123"/>
      <c r="D62" s="47"/>
      <c r="E62" s="40"/>
      <c r="F62" s="43"/>
      <c r="G62" s="43"/>
      <c r="H62" s="41"/>
      <c r="I62" s="42"/>
      <c r="J62" s="42"/>
      <c r="K62" s="84"/>
      <c r="L62" s="45"/>
      <c r="M62" s="43"/>
      <c r="N62" s="42"/>
      <c r="O62" s="42"/>
      <c r="P62" s="223"/>
      <c r="Q62" s="42"/>
      <c r="R62" s="42"/>
      <c r="S62" s="42"/>
      <c r="T62" s="42"/>
      <c r="U62" s="67"/>
      <c r="V62" s="220"/>
      <c r="W62" s="48"/>
      <c r="X62" s="49"/>
      <c r="Y62" s="43"/>
      <c r="Z62" s="49"/>
      <c r="AA62" s="43"/>
      <c r="AB62" s="43"/>
      <c r="AC62" s="49"/>
      <c r="AE62" s="43"/>
      <c r="AF62" s="69"/>
      <c r="AI62" s="46"/>
      <c r="AJ62" s="138"/>
      <c r="AK62" s="138"/>
      <c r="AL62" s="138"/>
      <c r="AM62" s="42"/>
      <c r="AO62" s="42"/>
      <c r="AQ62" s="43"/>
      <c r="AR62" s="43"/>
      <c r="AS62" s="44"/>
      <c r="AT62" s="44"/>
      <c r="AU62" s="44"/>
      <c r="AW62" s="42"/>
      <c r="AX62" s="42"/>
      <c r="AY62" s="45"/>
      <c r="AZ62" s="47"/>
      <c r="BG62" s="43"/>
      <c r="BI62" s="43"/>
      <c r="BJ62" s="43"/>
      <c r="BK62" s="43"/>
      <c r="BL62" s="43"/>
      <c r="BM62" s="43"/>
      <c r="BO62" s="43"/>
      <c r="BR62" s="43"/>
      <c r="BS62" s="43"/>
      <c r="BW62" s="43"/>
      <c r="CC62" s="43"/>
      <c r="CE62" s="43"/>
      <c r="CF62" s="43"/>
      <c r="CH62" s="43"/>
      <c r="CK62" s="43"/>
    </row>
    <row r="63" spans="2:89" x14ac:dyDescent="0.25">
      <c r="B63" s="89"/>
      <c r="C63" s="123"/>
      <c r="D63" s="47"/>
      <c r="E63" s="40"/>
      <c r="F63" s="43"/>
      <c r="G63" s="43"/>
      <c r="H63" s="41"/>
      <c r="I63" s="42"/>
      <c r="J63" s="42"/>
      <c r="K63" s="84"/>
      <c r="L63" s="45"/>
      <c r="M63" s="43"/>
      <c r="N63" s="42"/>
      <c r="O63" s="42"/>
      <c r="P63" s="42"/>
      <c r="Q63" s="42"/>
      <c r="R63" s="42"/>
      <c r="S63" s="42"/>
      <c r="T63" s="42"/>
      <c r="U63" s="67"/>
      <c r="V63" s="220"/>
      <c r="W63" s="48"/>
      <c r="X63" s="49"/>
      <c r="Y63" s="43"/>
      <c r="Z63" s="49"/>
      <c r="AA63" s="43"/>
      <c r="AB63" s="43"/>
      <c r="AC63" s="49"/>
      <c r="AE63" s="43"/>
      <c r="AF63" s="69"/>
      <c r="AI63" s="46"/>
      <c r="AJ63" s="138"/>
      <c r="AK63" s="138"/>
      <c r="AL63" s="138"/>
      <c r="AM63" s="42"/>
      <c r="AO63" s="42"/>
      <c r="AQ63" s="43"/>
      <c r="AR63" s="43"/>
      <c r="AS63" s="44"/>
      <c r="AT63" s="44"/>
      <c r="AU63" s="44"/>
      <c r="AW63" s="42"/>
      <c r="AX63" s="42"/>
      <c r="AY63" s="45"/>
      <c r="AZ63" s="47"/>
      <c r="BG63" s="43"/>
      <c r="BI63" s="43"/>
      <c r="BJ63" s="43"/>
      <c r="BK63" s="43"/>
      <c r="BL63" s="43"/>
      <c r="BM63" s="43"/>
      <c r="BO63" s="43"/>
      <c r="BR63" s="43"/>
      <c r="BS63" s="43"/>
      <c r="BW63" s="43"/>
      <c r="CC63" s="43"/>
      <c r="CE63" s="43"/>
      <c r="CF63" s="43"/>
      <c r="CH63" s="43"/>
      <c r="CK63" s="43"/>
    </row>
    <row r="64" spans="2:89" ht="15.75" customHeight="1" x14ac:dyDescent="0.25">
      <c r="B64" s="89"/>
      <c r="C64" s="123"/>
      <c r="D64" s="47"/>
      <c r="E64" s="40"/>
      <c r="F64" s="43"/>
      <c r="G64" s="43"/>
      <c r="H64" s="41"/>
      <c r="I64" s="42"/>
      <c r="J64" s="42"/>
      <c r="K64" s="84"/>
      <c r="L64" s="45"/>
      <c r="M64" s="43"/>
      <c r="N64" s="42"/>
      <c r="O64" s="42"/>
      <c r="P64" s="223"/>
      <c r="Q64" s="42"/>
      <c r="R64" s="42"/>
      <c r="S64" s="42"/>
      <c r="T64" s="42"/>
      <c r="U64" s="67"/>
      <c r="V64" s="220"/>
      <c r="W64" s="48"/>
      <c r="X64" s="49"/>
      <c r="Y64" s="43"/>
      <c r="Z64" s="49"/>
      <c r="AA64" s="43"/>
      <c r="AB64" s="43"/>
      <c r="AC64" s="49"/>
      <c r="AE64" s="43"/>
      <c r="AF64" s="69"/>
      <c r="AI64" s="46"/>
      <c r="AJ64" s="138"/>
      <c r="AK64" s="138"/>
      <c r="AL64" s="138"/>
      <c r="AM64" s="42"/>
      <c r="AO64" s="42"/>
      <c r="AQ64" s="43"/>
      <c r="AR64" s="43"/>
      <c r="AS64" s="44"/>
      <c r="AT64" s="44"/>
      <c r="AU64" s="44"/>
      <c r="AW64" s="42"/>
      <c r="AX64" s="42"/>
      <c r="AY64" s="45"/>
      <c r="AZ64" s="47"/>
      <c r="BG64" s="43"/>
      <c r="BI64" s="43"/>
      <c r="BJ64" s="43"/>
      <c r="BK64" s="43"/>
      <c r="BL64" s="43"/>
      <c r="BM64" s="43"/>
      <c r="BO64" s="43"/>
      <c r="BR64" s="43"/>
      <c r="BS64" s="43"/>
      <c r="BW64" s="43"/>
      <c r="CC64" s="43"/>
      <c r="CE64" s="43"/>
      <c r="CF64" s="43"/>
      <c r="CH64" s="43"/>
      <c r="CK64" s="43"/>
    </row>
    <row r="65" spans="2:89" x14ac:dyDescent="0.25">
      <c r="B65" s="89"/>
      <c r="C65" s="123"/>
      <c r="D65" s="47"/>
      <c r="E65" s="40"/>
      <c r="F65" s="43"/>
      <c r="G65" s="43"/>
      <c r="H65" s="41"/>
      <c r="I65" s="42"/>
      <c r="J65" s="42"/>
      <c r="K65" s="84"/>
      <c r="L65" s="45"/>
      <c r="M65" s="43"/>
      <c r="N65" s="42"/>
      <c r="O65" s="42"/>
      <c r="P65" s="223"/>
      <c r="Q65" s="42"/>
      <c r="R65" s="42"/>
      <c r="S65" s="42"/>
      <c r="T65" s="42"/>
      <c r="U65" s="67"/>
      <c r="V65" s="220"/>
      <c r="W65" s="48"/>
      <c r="X65" s="49"/>
      <c r="Y65" s="43"/>
      <c r="Z65" s="49"/>
      <c r="AA65" s="43"/>
      <c r="AB65" s="43"/>
      <c r="AC65" s="49"/>
      <c r="AE65" s="43"/>
      <c r="AF65" s="69"/>
      <c r="AI65" s="46"/>
      <c r="AJ65" s="138"/>
      <c r="AK65" s="138"/>
      <c r="AL65" s="138"/>
      <c r="AM65" s="42"/>
      <c r="AO65" s="42"/>
      <c r="AQ65" s="43"/>
      <c r="AR65" s="43"/>
      <c r="AS65" s="44"/>
      <c r="AT65" s="44"/>
      <c r="AU65" s="44"/>
      <c r="AW65" s="42"/>
      <c r="AX65" s="42"/>
      <c r="AY65" s="45"/>
      <c r="AZ65" s="47"/>
      <c r="BG65" s="43"/>
      <c r="BI65" s="43"/>
      <c r="BJ65" s="43"/>
      <c r="BK65" s="43"/>
      <c r="BL65" s="43"/>
      <c r="BM65" s="43"/>
      <c r="BO65" s="43"/>
      <c r="BR65" s="43"/>
      <c r="BS65" s="43"/>
      <c r="BW65" s="43"/>
      <c r="CC65" s="43"/>
      <c r="CE65" s="43"/>
      <c r="CF65" s="43"/>
      <c r="CH65" s="43"/>
      <c r="CK65" s="43"/>
    </row>
    <row r="66" spans="2:89" x14ac:dyDescent="0.25">
      <c r="B66" s="89"/>
      <c r="C66" s="123"/>
      <c r="D66" s="47"/>
      <c r="E66" s="40"/>
      <c r="F66" s="43"/>
      <c r="G66" s="43"/>
      <c r="H66" s="41"/>
      <c r="I66" s="42"/>
      <c r="J66" s="42"/>
      <c r="K66" s="84"/>
      <c r="L66" s="45"/>
      <c r="M66" s="43"/>
      <c r="N66" s="42"/>
      <c r="O66" s="42"/>
      <c r="P66" s="223"/>
      <c r="Q66" s="42"/>
      <c r="R66" s="42"/>
      <c r="S66" s="42"/>
      <c r="T66" s="42"/>
      <c r="U66" s="67"/>
      <c r="V66" s="220"/>
      <c r="W66" s="48"/>
      <c r="X66" s="49"/>
      <c r="Y66" s="43"/>
      <c r="Z66" s="49"/>
      <c r="AA66" s="43"/>
      <c r="AB66" s="43"/>
      <c r="AC66" s="49"/>
      <c r="AE66" s="43"/>
      <c r="AF66" s="69"/>
      <c r="AI66" s="46"/>
      <c r="AJ66" s="138"/>
      <c r="AK66" s="138"/>
      <c r="AL66" s="138"/>
      <c r="AM66" s="42"/>
      <c r="AO66" s="42"/>
      <c r="AQ66" s="43"/>
      <c r="AR66" s="43"/>
      <c r="AS66" s="44"/>
      <c r="AT66" s="44"/>
      <c r="AU66" s="44"/>
      <c r="AW66" s="42"/>
      <c r="AX66" s="42"/>
      <c r="AY66" s="45"/>
      <c r="AZ66" s="47"/>
      <c r="BG66" s="43"/>
      <c r="BI66" s="43"/>
      <c r="BJ66" s="43"/>
      <c r="BK66" s="43"/>
      <c r="BL66" s="43"/>
      <c r="BM66" s="43"/>
      <c r="BO66" s="43"/>
      <c r="BR66" s="43"/>
      <c r="BS66" s="43"/>
      <c r="BW66" s="43"/>
      <c r="CC66" s="43"/>
      <c r="CE66" s="43"/>
      <c r="CF66" s="43"/>
      <c r="CH66" s="43"/>
      <c r="CK66" s="43"/>
    </row>
    <row r="67" spans="2:89" x14ac:dyDescent="0.25">
      <c r="B67" s="89"/>
      <c r="C67" s="123"/>
      <c r="D67" s="47"/>
      <c r="E67" s="40"/>
      <c r="F67" s="43"/>
      <c r="G67" s="43"/>
      <c r="H67" s="41"/>
      <c r="I67" s="42"/>
      <c r="J67" s="42"/>
      <c r="K67" s="84"/>
      <c r="L67" s="45"/>
      <c r="M67" s="43"/>
      <c r="N67" s="42"/>
      <c r="O67" s="42"/>
      <c r="P67" s="223"/>
      <c r="Q67" s="42"/>
      <c r="R67" s="42"/>
      <c r="S67" s="42"/>
      <c r="T67" s="42"/>
      <c r="U67" s="67"/>
      <c r="V67" s="220"/>
      <c r="W67" s="48"/>
      <c r="X67" s="49"/>
      <c r="Y67" s="43"/>
      <c r="Z67" s="49"/>
      <c r="AA67" s="43"/>
      <c r="AB67" s="43"/>
      <c r="AC67" s="49"/>
      <c r="AE67" s="43"/>
      <c r="AF67" s="69"/>
      <c r="AI67" s="46"/>
      <c r="AJ67" s="138"/>
      <c r="AK67" s="138"/>
      <c r="AL67" s="138"/>
      <c r="AM67" s="42"/>
      <c r="AO67" s="42"/>
      <c r="AQ67" s="43"/>
      <c r="AR67" s="43"/>
      <c r="AS67" s="44"/>
      <c r="AT67" s="44"/>
      <c r="AU67" s="44"/>
      <c r="AW67" s="42"/>
      <c r="AX67" s="42"/>
      <c r="AY67" s="45"/>
      <c r="AZ67" s="47"/>
      <c r="BG67" s="43"/>
      <c r="BI67" s="43"/>
      <c r="BJ67" s="43"/>
      <c r="BK67" s="43"/>
      <c r="BL67" s="43"/>
      <c r="BM67" s="43"/>
      <c r="BO67" s="43"/>
      <c r="BR67" s="43"/>
      <c r="BS67" s="43"/>
      <c r="BW67" s="43"/>
      <c r="CC67" s="43"/>
      <c r="CE67" s="43"/>
      <c r="CF67" s="43"/>
      <c r="CH67" s="43"/>
      <c r="CK67" s="43"/>
    </row>
    <row r="68" spans="2:89" x14ac:dyDescent="0.25">
      <c r="B68" s="89"/>
      <c r="C68" s="123"/>
      <c r="D68" s="47"/>
      <c r="E68" s="40"/>
      <c r="F68" s="43"/>
      <c r="G68" s="43"/>
      <c r="H68" s="41"/>
      <c r="I68" s="42"/>
      <c r="J68" s="42"/>
      <c r="K68" s="84"/>
      <c r="L68" s="45"/>
      <c r="M68" s="43"/>
      <c r="N68" s="42"/>
      <c r="O68" s="42"/>
      <c r="P68" s="223"/>
      <c r="Q68" s="42"/>
      <c r="R68" s="42"/>
      <c r="S68" s="42"/>
      <c r="T68" s="42"/>
      <c r="U68" s="67"/>
      <c r="V68" s="220"/>
      <c r="W68" s="48"/>
      <c r="X68" s="49"/>
      <c r="Y68" s="43"/>
      <c r="Z68" s="49"/>
      <c r="AA68" s="43"/>
      <c r="AB68" s="43"/>
      <c r="AC68" s="49"/>
      <c r="AE68" s="43"/>
      <c r="AF68" s="69"/>
      <c r="AI68" s="46"/>
      <c r="AJ68" s="138"/>
      <c r="AK68" s="138"/>
      <c r="AL68" s="138"/>
      <c r="AM68" s="42"/>
      <c r="AO68" s="42"/>
      <c r="AQ68" s="43"/>
      <c r="AR68" s="43"/>
      <c r="AS68" s="44"/>
      <c r="AT68" s="44"/>
      <c r="AU68" s="44"/>
      <c r="AW68" s="42"/>
      <c r="AX68" s="42"/>
      <c r="AY68" s="45"/>
      <c r="AZ68" s="47"/>
      <c r="BG68" s="43"/>
      <c r="BI68" s="43"/>
      <c r="BJ68" s="43"/>
      <c r="BK68" s="43"/>
      <c r="BL68" s="43"/>
      <c r="BM68" s="43"/>
      <c r="BO68" s="43"/>
      <c r="BR68" s="43"/>
      <c r="BS68" s="43"/>
      <c r="BW68" s="43"/>
      <c r="CC68" s="43"/>
      <c r="CE68" s="43"/>
      <c r="CF68" s="43"/>
      <c r="CH68" s="43"/>
      <c r="CK68" s="43"/>
    </row>
    <row r="69" spans="2:89" x14ac:dyDescent="0.25">
      <c r="B69" s="89"/>
      <c r="C69" s="123"/>
      <c r="D69" s="47"/>
      <c r="E69" s="40"/>
      <c r="F69" s="43"/>
      <c r="G69" s="43"/>
      <c r="H69" s="41"/>
      <c r="I69" s="42"/>
      <c r="J69" s="42"/>
      <c r="K69" s="84"/>
      <c r="L69" s="45"/>
      <c r="M69" s="43"/>
      <c r="N69" s="42"/>
      <c r="O69" s="42"/>
      <c r="P69" s="223"/>
      <c r="Q69" s="42"/>
      <c r="R69" s="42"/>
      <c r="S69" s="42"/>
      <c r="T69" s="42"/>
      <c r="U69" s="67"/>
      <c r="V69" s="220"/>
      <c r="W69" s="48"/>
      <c r="X69" s="49"/>
      <c r="Y69" s="43"/>
      <c r="Z69" s="49"/>
      <c r="AA69" s="43"/>
      <c r="AB69" s="43"/>
      <c r="AC69" s="49"/>
      <c r="AE69" s="43"/>
      <c r="AF69" s="69"/>
      <c r="AI69" s="46"/>
      <c r="AJ69" s="138"/>
      <c r="AK69" s="138"/>
      <c r="AL69" s="138"/>
      <c r="AM69" s="42"/>
      <c r="AO69" s="42"/>
      <c r="AQ69" s="43"/>
      <c r="AR69" s="43"/>
      <c r="AS69" s="44"/>
      <c r="AT69" s="44"/>
      <c r="AU69" s="44"/>
      <c r="AW69" s="42"/>
      <c r="AX69" s="42"/>
      <c r="AY69" s="45"/>
      <c r="AZ69" s="47"/>
      <c r="BG69" s="43"/>
      <c r="BI69" s="43"/>
      <c r="BJ69" s="43"/>
      <c r="BK69" s="43"/>
      <c r="BL69" s="43"/>
      <c r="BM69" s="43"/>
      <c r="BO69" s="43"/>
      <c r="BR69" s="43"/>
      <c r="BS69" s="43"/>
      <c r="BW69" s="43"/>
      <c r="CC69" s="43"/>
      <c r="CE69" s="43"/>
      <c r="CF69" s="43"/>
      <c r="CH69" s="43"/>
      <c r="CK69" s="43"/>
    </row>
    <row r="70" spans="2:89" x14ac:dyDescent="0.25">
      <c r="B70" s="89"/>
      <c r="C70" s="123"/>
      <c r="D70" s="47"/>
      <c r="E70" s="40"/>
      <c r="F70" s="43"/>
      <c r="G70" s="43"/>
      <c r="H70" s="41"/>
      <c r="I70" s="42"/>
      <c r="J70" s="42"/>
      <c r="K70" s="84"/>
      <c r="L70" s="45"/>
      <c r="M70" s="43"/>
      <c r="N70" s="42"/>
      <c r="O70" s="42"/>
      <c r="P70" s="223"/>
      <c r="Q70" s="42"/>
      <c r="R70" s="42"/>
      <c r="S70" s="42"/>
      <c r="T70" s="42"/>
      <c r="U70" s="67"/>
      <c r="V70" s="220"/>
      <c r="W70" s="48"/>
      <c r="X70" s="49"/>
      <c r="Y70" s="43"/>
      <c r="Z70" s="49"/>
      <c r="AA70" s="43"/>
      <c r="AB70" s="43"/>
      <c r="AC70" s="49"/>
      <c r="AE70" s="43"/>
      <c r="AF70" s="69"/>
      <c r="AI70" s="46"/>
      <c r="AJ70" s="138"/>
      <c r="AK70" s="138"/>
      <c r="AL70" s="138"/>
      <c r="AM70" s="42"/>
      <c r="AO70" s="42"/>
      <c r="AQ70" s="43"/>
      <c r="AR70" s="43"/>
      <c r="AS70" s="44"/>
      <c r="AT70" s="44"/>
      <c r="AU70" s="44"/>
      <c r="AW70" s="42"/>
      <c r="AX70" s="42"/>
      <c r="AY70" s="45"/>
      <c r="AZ70" s="47"/>
      <c r="BG70" s="43"/>
      <c r="BI70" s="43"/>
      <c r="BJ70" s="43"/>
      <c r="BK70" s="43"/>
      <c r="BL70" s="43"/>
      <c r="BM70" s="43"/>
      <c r="BO70" s="43"/>
      <c r="BR70" s="43"/>
      <c r="BS70" s="43"/>
      <c r="BW70" s="43"/>
      <c r="CC70" s="43"/>
      <c r="CE70" s="43"/>
      <c r="CF70" s="43"/>
      <c r="CH70" s="43"/>
      <c r="CK70" s="43"/>
    </row>
    <row r="71" spans="2:89" x14ac:dyDescent="0.25">
      <c r="B71" s="89"/>
      <c r="C71" s="123"/>
      <c r="D71" s="47"/>
      <c r="E71" s="40"/>
      <c r="F71" s="43"/>
      <c r="G71" s="43"/>
      <c r="H71" s="41"/>
      <c r="I71" s="42"/>
      <c r="J71" s="42"/>
      <c r="K71" s="84"/>
      <c r="L71" s="45"/>
      <c r="M71" s="43"/>
      <c r="N71" s="42"/>
      <c r="O71" s="42"/>
      <c r="P71" s="223"/>
      <c r="Q71" s="42"/>
      <c r="R71" s="42"/>
      <c r="S71" s="42"/>
      <c r="T71" s="42"/>
      <c r="U71" s="67"/>
      <c r="V71" s="220"/>
      <c r="W71" s="48"/>
      <c r="X71" s="49"/>
      <c r="Y71" s="43"/>
      <c r="Z71" s="49"/>
      <c r="AA71" s="43"/>
      <c r="AB71" s="43"/>
      <c r="AC71" s="49"/>
      <c r="AE71" s="43"/>
      <c r="AF71" s="69"/>
      <c r="AI71" s="46"/>
      <c r="AJ71" s="138"/>
      <c r="AK71" s="138"/>
      <c r="AL71" s="138"/>
      <c r="AM71" s="42"/>
      <c r="AO71" s="42"/>
      <c r="AQ71" s="43"/>
      <c r="AR71" s="43"/>
      <c r="AS71" s="44"/>
      <c r="AT71" s="44"/>
      <c r="AU71" s="44"/>
      <c r="AW71" s="42"/>
      <c r="AX71" s="42"/>
      <c r="AY71" s="45"/>
      <c r="AZ71" s="47"/>
      <c r="BG71" s="43"/>
      <c r="BI71" s="43"/>
      <c r="BJ71" s="43"/>
      <c r="BK71" s="43"/>
      <c r="BL71" s="43"/>
      <c r="BM71" s="43"/>
      <c r="BO71" s="43"/>
      <c r="BR71" s="43"/>
      <c r="BS71" s="43"/>
      <c r="BW71" s="43"/>
      <c r="CC71" s="43"/>
      <c r="CE71" s="43"/>
      <c r="CF71" s="43"/>
      <c r="CH71" s="43"/>
      <c r="CK71" s="43"/>
    </row>
    <row r="72" spans="2:89" x14ac:dyDescent="0.25">
      <c r="B72" s="89"/>
      <c r="C72" s="123"/>
      <c r="D72" s="47"/>
      <c r="E72" s="40"/>
      <c r="F72" s="43"/>
      <c r="G72" s="43"/>
      <c r="H72" s="41"/>
      <c r="I72" s="42"/>
      <c r="J72" s="42"/>
      <c r="K72" s="84"/>
      <c r="L72" s="45"/>
      <c r="M72" s="43"/>
      <c r="N72" s="42"/>
      <c r="O72" s="42"/>
      <c r="P72" s="247"/>
      <c r="Q72" s="42"/>
      <c r="R72" s="42"/>
      <c r="S72" s="42"/>
      <c r="T72" s="42"/>
      <c r="U72" s="67"/>
      <c r="V72" s="220"/>
      <c r="W72" s="48"/>
      <c r="X72" s="49"/>
      <c r="Y72" s="43"/>
      <c r="Z72" s="49"/>
      <c r="AA72" s="43"/>
      <c r="AB72" s="43"/>
      <c r="AC72" s="49"/>
      <c r="AE72" s="43"/>
      <c r="AF72" s="69"/>
      <c r="AI72" s="46"/>
      <c r="AJ72" s="138"/>
      <c r="AK72" s="138"/>
      <c r="AL72" s="138"/>
      <c r="AM72" s="42"/>
      <c r="AO72" s="42"/>
      <c r="AQ72" s="43"/>
      <c r="AR72" s="43"/>
      <c r="AS72" s="44"/>
      <c r="AT72" s="44"/>
      <c r="AU72" s="44"/>
      <c r="AW72" s="42"/>
      <c r="AX72" s="42"/>
      <c r="AY72" s="45"/>
      <c r="AZ72" s="47"/>
      <c r="BG72" s="43"/>
      <c r="BI72" s="43"/>
      <c r="BJ72" s="43"/>
      <c r="BK72" s="43"/>
      <c r="BL72" s="43"/>
      <c r="BM72" s="43"/>
      <c r="BO72" s="43"/>
      <c r="BR72" s="43"/>
      <c r="BS72" s="43"/>
      <c r="BW72" s="43"/>
      <c r="CC72" s="43"/>
      <c r="CE72" s="43"/>
      <c r="CF72" s="43"/>
      <c r="CH72" s="43"/>
      <c r="CK72" s="43"/>
    </row>
    <row r="73" spans="2:89" x14ac:dyDescent="0.25">
      <c r="B73" s="89"/>
      <c r="C73" s="123"/>
      <c r="D73" s="47"/>
      <c r="E73" s="40"/>
      <c r="F73" s="43"/>
      <c r="G73" s="44"/>
      <c r="H73" s="41"/>
      <c r="I73" s="42"/>
      <c r="J73" s="42"/>
      <c r="K73" s="84"/>
      <c r="L73" s="45"/>
      <c r="M73" s="43"/>
      <c r="N73" s="42"/>
      <c r="O73" s="42"/>
      <c r="P73" s="225"/>
      <c r="Q73" s="42"/>
      <c r="R73" s="42"/>
      <c r="S73" s="42"/>
      <c r="T73" s="42"/>
      <c r="U73" s="67"/>
      <c r="V73" s="220"/>
      <c r="W73" s="48"/>
      <c r="X73" s="49"/>
      <c r="Y73" s="43"/>
      <c r="Z73" s="49"/>
      <c r="AA73" s="43"/>
      <c r="AB73" s="43"/>
      <c r="AC73" s="49"/>
      <c r="AE73" s="43"/>
      <c r="AF73" s="69"/>
      <c r="AI73" s="46"/>
      <c r="AJ73" s="138"/>
      <c r="AK73" s="138"/>
      <c r="AL73" s="138"/>
      <c r="AM73" s="42"/>
      <c r="AO73" s="42"/>
      <c r="AQ73" s="43"/>
      <c r="AR73" s="43"/>
      <c r="AS73" s="44"/>
      <c r="AT73" s="44"/>
      <c r="AU73" s="44"/>
      <c r="AW73" s="42"/>
      <c r="AX73" s="42"/>
      <c r="AY73" s="45"/>
      <c r="AZ73" s="47"/>
      <c r="BG73" s="43"/>
      <c r="BI73" s="43"/>
      <c r="BJ73" s="43"/>
      <c r="BK73" s="43"/>
      <c r="BL73" s="43"/>
      <c r="BM73" s="43"/>
      <c r="BO73" s="43"/>
      <c r="BR73" s="43"/>
      <c r="BS73" s="43"/>
      <c r="BW73" s="43"/>
      <c r="CC73" s="43"/>
      <c r="CE73" s="43"/>
      <c r="CF73" s="43"/>
      <c r="CH73" s="43"/>
      <c r="CK73" s="43"/>
    </row>
    <row r="74" spans="2:89" x14ac:dyDescent="0.25">
      <c r="B74" s="89"/>
      <c r="C74" s="123"/>
      <c r="D74" s="47"/>
      <c r="E74" s="40"/>
      <c r="F74" s="43"/>
      <c r="G74" s="43"/>
      <c r="H74" s="41"/>
      <c r="I74" s="42"/>
      <c r="J74" s="42"/>
      <c r="K74" s="84"/>
      <c r="L74" s="45"/>
      <c r="M74" s="43"/>
      <c r="N74" s="42"/>
      <c r="O74" s="42"/>
      <c r="P74" s="229"/>
      <c r="Q74" s="42"/>
      <c r="R74" s="42"/>
      <c r="S74" s="42"/>
      <c r="T74" s="42"/>
      <c r="U74" s="67"/>
      <c r="V74" s="220"/>
      <c r="W74" s="48"/>
      <c r="X74" s="49"/>
      <c r="Y74" s="43"/>
      <c r="Z74" s="49"/>
      <c r="AA74" s="43"/>
      <c r="AB74" s="43"/>
      <c r="AC74" s="49"/>
      <c r="AE74" s="43"/>
      <c r="AF74" s="69"/>
      <c r="AI74" s="46"/>
      <c r="AJ74" s="138"/>
      <c r="AK74" s="138"/>
      <c r="AL74" s="138"/>
      <c r="AM74" s="42"/>
      <c r="AO74" s="42"/>
      <c r="AQ74" s="43"/>
      <c r="AR74" s="43"/>
      <c r="AS74" s="44"/>
      <c r="AT74" s="44"/>
      <c r="AU74" s="44"/>
      <c r="AW74" s="42"/>
      <c r="AX74" s="42"/>
      <c r="AY74" s="45"/>
      <c r="AZ74" s="47"/>
      <c r="BG74" s="43"/>
      <c r="BI74" s="43"/>
      <c r="BJ74" s="43"/>
      <c r="BK74" s="43"/>
      <c r="BL74" s="43"/>
      <c r="BM74" s="43"/>
      <c r="BO74" s="43"/>
      <c r="BR74" s="43"/>
      <c r="BS74" s="43"/>
      <c r="BW74" s="43"/>
      <c r="CC74" s="43"/>
      <c r="CE74" s="43"/>
      <c r="CF74" s="43"/>
      <c r="CH74" s="43"/>
      <c r="CK74" s="43"/>
    </row>
    <row r="75" spans="2:89" x14ac:dyDescent="0.25">
      <c r="B75" s="89"/>
      <c r="C75" s="123"/>
      <c r="D75" s="47"/>
      <c r="E75" s="40"/>
      <c r="F75" s="43"/>
      <c r="G75" s="43"/>
      <c r="H75" s="41"/>
      <c r="I75" s="42"/>
      <c r="J75" s="42"/>
      <c r="K75" s="84"/>
      <c r="L75" s="45"/>
      <c r="M75" s="43"/>
      <c r="N75" s="42"/>
      <c r="O75" s="42"/>
      <c r="P75" s="223"/>
      <c r="Q75" s="42"/>
      <c r="R75" s="42"/>
      <c r="S75" s="42"/>
      <c r="T75" s="42"/>
      <c r="U75" s="67"/>
      <c r="V75" s="220"/>
      <c r="W75" s="48"/>
      <c r="X75" s="49"/>
      <c r="Y75" s="43"/>
      <c r="Z75" s="49"/>
      <c r="AA75" s="43"/>
      <c r="AB75" s="43"/>
      <c r="AC75" s="49"/>
      <c r="AE75" s="43"/>
      <c r="AF75" s="69"/>
      <c r="AI75" s="46"/>
      <c r="AJ75" s="138"/>
      <c r="AK75" s="138"/>
      <c r="AL75" s="138"/>
      <c r="AM75" s="42"/>
      <c r="AO75" s="42"/>
      <c r="AQ75" s="43"/>
      <c r="AR75" s="43"/>
      <c r="AS75" s="44"/>
      <c r="AT75" s="44"/>
      <c r="AU75" s="44"/>
      <c r="AW75" s="42"/>
      <c r="AX75" s="42"/>
      <c r="AY75" s="45"/>
      <c r="AZ75" s="47"/>
      <c r="BG75" s="43"/>
      <c r="BI75" s="43"/>
      <c r="BJ75" s="43"/>
      <c r="BK75" s="43"/>
      <c r="BL75" s="43"/>
      <c r="BM75" s="43"/>
      <c r="BO75" s="43"/>
      <c r="BR75" s="43"/>
      <c r="BS75" s="43"/>
      <c r="BW75" s="43"/>
      <c r="CC75" s="43"/>
      <c r="CE75" s="43"/>
      <c r="CF75" s="43"/>
      <c r="CH75" s="43"/>
      <c r="CK75" s="43"/>
    </row>
    <row r="76" spans="2:89" x14ac:dyDescent="0.25">
      <c r="B76" s="89"/>
      <c r="C76" s="123"/>
      <c r="D76" s="47"/>
      <c r="E76" s="40"/>
      <c r="F76" s="43"/>
      <c r="G76" s="43"/>
      <c r="H76" s="41"/>
      <c r="I76" s="42"/>
      <c r="J76" s="42"/>
      <c r="K76" s="84"/>
      <c r="L76" s="45"/>
      <c r="M76" s="43"/>
      <c r="N76" s="42"/>
      <c r="O76" s="42"/>
      <c r="P76" s="229"/>
      <c r="Q76" s="42"/>
      <c r="R76" s="42"/>
      <c r="S76" s="42"/>
      <c r="T76" s="42"/>
      <c r="U76" s="67"/>
      <c r="V76" s="220"/>
      <c r="W76" s="48"/>
      <c r="X76" s="49"/>
      <c r="Y76" s="43"/>
      <c r="Z76" s="49"/>
      <c r="AA76" s="43"/>
      <c r="AB76" s="43"/>
      <c r="AC76" s="49"/>
      <c r="AE76" s="43"/>
      <c r="AF76" s="69"/>
      <c r="AI76" s="46"/>
      <c r="AJ76" s="138"/>
      <c r="AK76" s="138"/>
      <c r="AL76" s="138"/>
      <c r="AM76" s="42"/>
      <c r="AO76" s="42"/>
      <c r="AQ76" s="43"/>
      <c r="AR76" s="43"/>
      <c r="AS76" s="44"/>
      <c r="AT76" s="44"/>
      <c r="AU76" s="44"/>
      <c r="AW76" s="42"/>
      <c r="AX76" s="42"/>
      <c r="AY76" s="45"/>
      <c r="AZ76" s="47"/>
      <c r="BG76" s="43"/>
      <c r="BI76" s="43"/>
      <c r="BJ76" s="43"/>
      <c r="BK76" s="43"/>
      <c r="BL76" s="43"/>
      <c r="BM76" s="43"/>
      <c r="BO76" s="43"/>
      <c r="BR76" s="43"/>
      <c r="BS76" s="43"/>
      <c r="BW76" s="43"/>
      <c r="CC76" s="43"/>
      <c r="CE76" s="43"/>
      <c r="CF76" s="43"/>
      <c r="CH76" s="43"/>
      <c r="CK76" s="43"/>
    </row>
    <row r="77" spans="2:89" x14ac:dyDescent="0.25">
      <c r="B77" s="89"/>
      <c r="C77" s="123"/>
      <c r="D77" s="47"/>
      <c r="E77" s="40"/>
      <c r="F77" s="43"/>
      <c r="G77" s="43"/>
      <c r="H77" s="41"/>
      <c r="I77" s="42"/>
      <c r="J77" s="42"/>
      <c r="K77" s="84"/>
      <c r="L77" s="45"/>
      <c r="M77" s="43"/>
      <c r="N77" s="42"/>
      <c r="O77" s="42"/>
      <c r="P77" s="223"/>
      <c r="Q77" s="42"/>
      <c r="R77" s="42"/>
      <c r="S77" s="42"/>
      <c r="T77" s="42"/>
      <c r="U77" s="67"/>
      <c r="V77" s="220"/>
      <c r="W77" s="48"/>
      <c r="X77" s="49"/>
      <c r="Y77" s="43"/>
      <c r="Z77" s="49"/>
      <c r="AA77" s="43"/>
      <c r="AB77" s="43"/>
      <c r="AC77" s="49"/>
      <c r="AE77" s="43"/>
      <c r="AF77" s="69"/>
      <c r="AI77" s="46"/>
      <c r="AJ77" s="138"/>
      <c r="AK77" s="138"/>
      <c r="AL77" s="138"/>
      <c r="AM77" s="42"/>
      <c r="AO77" s="42"/>
      <c r="AQ77" s="43"/>
      <c r="AR77" s="43"/>
      <c r="AS77" s="44"/>
      <c r="AT77" s="44"/>
      <c r="AU77" s="44"/>
      <c r="AW77" s="42"/>
      <c r="AX77" s="42"/>
      <c r="AY77" s="45"/>
      <c r="AZ77" s="47"/>
      <c r="BG77" s="43"/>
      <c r="BI77" s="43"/>
      <c r="BJ77" s="43"/>
      <c r="BK77" s="43"/>
      <c r="BL77" s="43"/>
      <c r="BM77" s="43"/>
      <c r="BO77" s="43"/>
      <c r="BR77" s="43"/>
      <c r="BS77" s="43"/>
      <c r="BW77" s="43"/>
      <c r="CC77" s="43"/>
      <c r="CE77" s="43"/>
      <c r="CF77" s="43"/>
      <c r="CH77" s="43"/>
      <c r="CK77" s="43"/>
    </row>
    <row r="78" spans="2:89" ht="15.75" customHeight="1" x14ac:dyDescent="0.25">
      <c r="B78" s="89"/>
      <c r="C78" s="123"/>
      <c r="D78" s="47"/>
      <c r="E78" s="40"/>
      <c r="F78" s="43"/>
      <c r="G78" s="43"/>
      <c r="H78" s="41"/>
      <c r="I78" s="42"/>
      <c r="J78" s="42"/>
      <c r="K78" s="84"/>
      <c r="L78" s="45"/>
      <c r="M78" s="43"/>
      <c r="N78" s="42"/>
      <c r="O78" s="42"/>
      <c r="P78" s="223"/>
      <c r="Q78" s="42"/>
      <c r="R78" s="42"/>
      <c r="S78" s="42"/>
      <c r="T78" s="42"/>
      <c r="U78" s="67"/>
      <c r="V78" s="220"/>
      <c r="W78" s="48"/>
      <c r="X78" s="49"/>
      <c r="Y78" s="43"/>
      <c r="Z78" s="49"/>
      <c r="AA78" s="43"/>
      <c r="AB78" s="43"/>
      <c r="AC78" s="49"/>
      <c r="AE78" s="43"/>
      <c r="AF78" s="69"/>
      <c r="AI78" s="46"/>
      <c r="AJ78" s="138"/>
      <c r="AK78" s="138"/>
      <c r="AL78" s="138"/>
      <c r="AM78" s="42"/>
      <c r="AO78" s="42"/>
      <c r="AQ78" s="43"/>
      <c r="AR78" s="43"/>
      <c r="AS78" s="44"/>
      <c r="AT78" s="44"/>
      <c r="AU78" s="44"/>
      <c r="AW78" s="42"/>
      <c r="AX78" s="42"/>
      <c r="AY78" s="45"/>
      <c r="AZ78" s="47"/>
      <c r="BG78" s="43"/>
      <c r="BI78" s="43"/>
      <c r="BJ78" s="43"/>
      <c r="BK78" s="43"/>
      <c r="BL78" s="43"/>
      <c r="BM78" s="43"/>
      <c r="BO78" s="43"/>
      <c r="BR78" s="43"/>
      <c r="BS78" s="43"/>
      <c r="BW78" s="43"/>
      <c r="CC78" s="43"/>
      <c r="CE78" s="43"/>
      <c r="CF78" s="43"/>
      <c r="CH78" s="43"/>
      <c r="CK78" s="43"/>
    </row>
    <row r="79" spans="2:89" x14ac:dyDescent="0.25">
      <c r="B79" s="157"/>
      <c r="C79" s="127"/>
      <c r="D79" s="47"/>
      <c r="E79" s="40"/>
      <c r="F79" s="43"/>
      <c r="G79" s="43"/>
      <c r="H79" s="41"/>
      <c r="I79" s="42"/>
      <c r="J79" s="42"/>
      <c r="K79" s="84"/>
      <c r="L79" s="45"/>
      <c r="M79" s="132"/>
      <c r="N79" s="42"/>
      <c r="O79" s="42"/>
      <c r="P79" s="42"/>
      <c r="Q79" s="42"/>
      <c r="R79" s="42"/>
      <c r="S79" s="42"/>
      <c r="T79" s="42"/>
      <c r="U79" s="171"/>
      <c r="V79" s="221"/>
      <c r="W79" s="48"/>
      <c r="X79" s="49"/>
      <c r="Y79" s="43"/>
      <c r="Z79" s="49"/>
      <c r="AA79" s="43"/>
      <c r="AB79" s="43"/>
      <c r="AC79" s="49"/>
      <c r="AE79" s="43"/>
      <c r="AF79" s="69"/>
      <c r="AG79" s="69"/>
      <c r="AH79" s="69"/>
      <c r="AI79" s="46"/>
      <c r="AJ79" s="138"/>
      <c r="AK79" s="138"/>
      <c r="AL79" s="170"/>
      <c r="AM79" s="74"/>
      <c r="AN79" s="74"/>
      <c r="AO79" s="74"/>
      <c r="AP79" s="74"/>
      <c r="AQ79" s="81"/>
      <c r="AR79" s="81"/>
      <c r="AS79" s="82"/>
      <c r="AT79" s="82"/>
      <c r="AU79" s="44"/>
      <c r="AV79" s="81"/>
      <c r="AW79" s="74"/>
      <c r="AX79" s="74"/>
      <c r="AY79" s="74"/>
      <c r="AZ79" s="83"/>
      <c r="BG79" s="43"/>
      <c r="BI79" s="43"/>
      <c r="BJ79" s="43"/>
      <c r="BK79" s="43"/>
      <c r="BL79" s="43"/>
      <c r="BM79" s="43"/>
      <c r="BO79" s="43"/>
      <c r="BR79" s="43"/>
      <c r="BS79" s="43"/>
      <c r="BW79" s="43"/>
      <c r="CC79" s="43"/>
      <c r="CE79" s="43"/>
      <c r="CF79" s="43"/>
      <c r="CH79" s="43"/>
      <c r="CK79" s="43"/>
    </row>
    <row r="80" spans="2:89" x14ac:dyDescent="0.25">
      <c r="B80" s="89"/>
      <c r="C80" s="123"/>
      <c r="D80" s="47"/>
      <c r="E80" s="40"/>
      <c r="F80" s="43"/>
      <c r="G80" s="43"/>
      <c r="H80" s="41"/>
      <c r="I80" s="42"/>
      <c r="J80" s="42"/>
      <c r="K80" s="84"/>
      <c r="L80" s="45"/>
      <c r="M80" s="43"/>
      <c r="N80" s="42"/>
      <c r="O80" s="42"/>
      <c r="P80" s="42"/>
      <c r="Q80" s="42"/>
      <c r="R80" s="42"/>
      <c r="S80" s="42"/>
      <c r="T80" s="42"/>
      <c r="U80" s="67"/>
      <c r="V80" s="220"/>
      <c r="W80" s="48"/>
      <c r="X80" s="49"/>
      <c r="Y80" s="43"/>
      <c r="Z80" s="49"/>
      <c r="AA80" s="43"/>
      <c r="AB80" s="43"/>
      <c r="AC80" s="49"/>
      <c r="AE80" s="43"/>
      <c r="AF80" s="69"/>
      <c r="AI80" s="46"/>
      <c r="AJ80" s="138"/>
      <c r="AK80" s="138"/>
      <c r="AL80" s="138"/>
      <c r="AM80" s="42"/>
      <c r="AO80" s="42"/>
      <c r="AQ80" s="43"/>
      <c r="AR80" s="43"/>
      <c r="AS80" s="44"/>
      <c r="AT80" s="44"/>
      <c r="AU80" s="44"/>
      <c r="AW80" s="42"/>
      <c r="AX80" s="42"/>
      <c r="AY80" s="45"/>
      <c r="AZ80" s="47"/>
      <c r="BG80" s="43"/>
      <c r="BI80" s="43"/>
      <c r="BJ80" s="43"/>
      <c r="BK80" s="43"/>
      <c r="BL80" s="43"/>
      <c r="BM80" s="43"/>
      <c r="BO80" s="43"/>
      <c r="BR80" s="43"/>
      <c r="BS80" s="43"/>
      <c r="BW80" s="43"/>
      <c r="CC80" s="43"/>
      <c r="CE80" s="43"/>
      <c r="CF80" s="43"/>
      <c r="CH80" s="43"/>
      <c r="CK80" s="43"/>
    </row>
    <row r="81" spans="2:89" x14ac:dyDescent="0.25">
      <c r="B81" s="89"/>
      <c r="C81" s="123"/>
      <c r="D81" s="47"/>
      <c r="E81" s="40"/>
      <c r="F81" s="43"/>
      <c r="G81" s="43"/>
      <c r="H81" s="41"/>
      <c r="I81" s="42"/>
      <c r="J81" s="42"/>
      <c r="K81" s="84"/>
      <c r="L81" s="45"/>
      <c r="M81" s="43"/>
      <c r="N81" s="42"/>
      <c r="O81" s="42"/>
      <c r="P81" s="223"/>
      <c r="Q81" s="42"/>
      <c r="R81" s="42"/>
      <c r="S81" s="42"/>
      <c r="T81" s="42"/>
      <c r="U81" s="67"/>
      <c r="V81" s="220"/>
      <c r="W81" s="48"/>
      <c r="X81" s="49"/>
      <c r="Y81" s="43"/>
      <c r="Z81" s="49"/>
      <c r="AA81" s="43"/>
      <c r="AB81" s="43"/>
      <c r="AC81" s="49"/>
      <c r="AE81" s="43"/>
      <c r="AF81" s="69"/>
      <c r="AI81" s="46"/>
      <c r="AJ81" s="138"/>
      <c r="AK81" s="138"/>
      <c r="AL81" s="138"/>
      <c r="AM81" s="42"/>
      <c r="AO81" s="42"/>
      <c r="AQ81" s="43"/>
      <c r="AR81" s="43"/>
      <c r="AS81" s="44"/>
      <c r="AT81" s="44"/>
      <c r="AU81" s="44"/>
      <c r="AW81" s="42"/>
      <c r="AX81" s="42"/>
      <c r="AY81" s="45"/>
      <c r="AZ81" s="47"/>
      <c r="BG81" s="43"/>
      <c r="BI81" s="43"/>
      <c r="BJ81" s="43"/>
      <c r="BK81" s="43"/>
      <c r="BL81" s="43"/>
      <c r="BM81" s="43"/>
      <c r="BO81" s="43"/>
      <c r="BR81" s="43"/>
      <c r="BS81" s="43"/>
      <c r="BW81" s="43"/>
      <c r="CC81" s="43"/>
      <c r="CE81" s="43"/>
      <c r="CF81" s="43"/>
      <c r="CH81" s="43"/>
      <c r="CK81" s="43"/>
    </row>
    <row r="82" spans="2:89" x14ac:dyDescent="0.25">
      <c r="B82" s="89"/>
      <c r="C82" s="123"/>
      <c r="D82" s="47"/>
      <c r="E82" s="40"/>
      <c r="F82" s="43"/>
      <c r="G82" s="43"/>
      <c r="H82" s="41"/>
      <c r="I82" s="42"/>
      <c r="J82" s="42"/>
      <c r="K82" s="84"/>
      <c r="L82" s="45"/>
      <c r="M82" s="43"/>
      <c r="N82" s="42"/>
      <c r="O82" s="42"/>
      <c r="P82" s="223"/>
      <c r="Q82" s="42"/>
      <c r="R82" s="42"/>
      <c r="S82" s="42"/>
      <c r="T82" s="42"/>
      <c r="U82" s="67"/>
      <c r="V82" s="220"/>
      <c r="W82" s="48"/>
      <c r="X82" s="49"/>
      <c r="Y82" s="43"/>
      <c r="Z82" s="49"/>
      <c r="AA82" s="43"/>
      <c r="AB82" s="43"/>
      <c r="AC82" s="49"/>
      <c r="AE82" s="43"/>
      <c r="AF82" s="69"/>
      <c r="AI82" s="46"/>
      <c r="AJ82" s="138"/>
      <c r="AK82" s="138"/>
      <c r="AL82" s="138"/>
      <c r="AM82" s="42"/>
      <c r="AO82" s="42"/>
      <c r="AQ82" s="43"/>
      <c r="AR82" s="43"/>
      <c r="AS82" s="44"/>
      <c r="AT82" s="44"/>
      <c r="AU82" s="44"/>
      <c r="AW82" s="42"/>
      <c r="AX82" s="42"/>
      <c r="AY82" s="45"/>
      <c r="AZ82" s="47"/>
      <c r="BG82" s="43"/>
      <c r="BI82" s="43"/>
      <c r="BJ82" s="43"/>
      <c r="BK82" s="43"/>
      <c r="BL82" s="43"/>
      <c r="BM82" s="43"/>
      <c r="BO82" s="43"/>
      <c r="BR82" s="43"/>
      <c r="BS82" s="43"/>
      <c r="BW82" s="43"/>
      <c r="CC82" s="43"/>
      <c r="CE82" s="43"/>
      <c r="CF82" s="43"/>
      <c r="CH82" s="43"/>
      <c r="CK82" s="43"/>
    </row>
    <row r="83" spans="2:89" x14ac:dyDescent="0.25">
      <c r="B83" s="107"/>
      <c r="C83" s="125"/>
      <c r="D83" s="47"/>
      <c r="E83" s="40"/>
      <c r="F83" s="111"/>
      <c r="G83" s="111"/>
      <c r="H83" s="108"/>
      <c r="I83" s="113"/>
      <c r="J83" s="113"/>
      <c r="K83" s="109"/>
      <c r="L83" s="45"/>
      <c r="M83" s="43"/>
      <c r="N83" s="42"/>
      <c r="O83" s="42"/>
      <c r="P83" s="42"/>
      <c r="Q83" s="42"/>
      <c r="R83" s="42"/>
      <c r="S83" s="42"/>
      <c r="T83" s="42"/>
      <c r="U83" s="110"/>
      <c r="V83" s="221"/>
      <c r="W83" s="48"/>
      <c r="X83" s="49"/>
      <c r="Y83" s="43"/>
      <c r="Z83" s="49"/>
      <c r="AA83" s="43"/>
      <c r="AB83" s="43"/>
      <c r="AC83" s="49"/>
      <c r="AE83" s="43"/>
      <c r="AF83" s="69"/>
      <c r="AG83" s="69"/>
      <c r="AI83" s="46"/>
      <c r="AJ83" s="138"/>
      <c r="AK83" s="138"/>
      <c r="AL83" s="138"/>
      <c r="AM83" s="74"/>
      <c r="AN83" s="74"/>
      <c r="AO83" s="74"/>
      <c r="AP83" s="74"/>
      <c r="AQ83" s="43"/>
      <c r="AR83" s="43"/>
      <c r="AS83" s="82"/>
      <c r="AT83" s="82"/>
      <c r="AU83" s="249"/>
      <c r="AV83" s="81"/>
      <c r="AW83" s="74"/>
      <c r="AX83" s="42"/>
      <c r="AY83" s="45"/>
      <c r="AZ83" s="45"/>
      <c r="BG83" s="43"/>
      <c r="BI83" s="43"/>
      <c r="BJ83" s="43"/>
      <c r="BK83" s="43"/>
      <c r="BL83" s="43"/>
      <c r="BM83" s="43"/>
      <c r="BO83" s="43"/>
      <c r="BR83" s="43"/>
      <c r="BS83" s="43"/>
      <c r="BW83" s="43"/>
      <c r="CC83" s="43"/>
      <c r="CE83" s="43"/>
      <c r="CF83" s="43"/>
      <c r="CH83" s="43"/>
      <c r="CK83" s="43"/>
    </row>
    <row r="84" spans="2:89" x14ac:dyDescent="0.25">
      <c r="B84" s="89"/>
      <c r="C84" s="123"/>
      <c r="D84" s="47"/>
      <c r="E84" s="40"/>
      <c r="F84" s="43"/>
      <c r="G84" s="43"/>
      <c r="H84" s="41"/>
      <c r="I84" s="42"/>
      <c r="J84" s="42"/>
      <c r="K84" s="84"/>
      <c r="L84" s="45"/>
      <c r="M84" s="43"/>
      <c r="N84" s="42"/>
      <c r="O84" s="42"/>
      <c r="P84" s="42"/>
      <c r="Q84" s="42"/>
      <c r="R84" s="42"/>
      <c r="S84" s="42"/>
      <c r="T84" s="42"/>
      <c r="U84" s="67"/>
      <c r="V84" s="220"/>
      <c r="W84" s="48"/>
      <c r="X84" s="49"/>
      <c r="Y84" s="43"/>
      <c r="Z84" s="49"/>
      <c r="AA84" s="43"/>
      <c r="AB84" s="43"/>
      <c r="AC84" s="49"/>
      <c r="AE84" s="43"/>
      <c r="AF84" s="69"/>
      <c r="AH84" s="150"/>
      <c r="AI84" s="46"/>
      <c r="AJ84" s="138"/>
      <c r="AK84" s="138"/>
      <c r="AL84" s="138"/>
      <c r="AM84" s="42"/>
      <c r="AO84" s="42"/>
      <c r="AQ84" s="43"/>
      <c r="AR84" s="43"/>
      <c r="AS84" s="44"/>
      <c r="AT84" s="152"/>
      <c r="AU84" s="44"/>
      <c r="AW84" s="42"/>
      <c r="AX84" s="42"/>
      <c r="AY84" s="45"/>
      <c r="AZ84" s="47"/>
      <c r="BG84" s="43"/>
      <c r="BI84" s="43"/>
      <c r="BJ84" s="43"/>
      <c r="BK84" s="43"/>
      <c r="BL84" s="43"/>
      <c r="BM84" s="43"/>
      <c r="BO84" s="43"/>
      <c r="BR84" s="43"/>
      <c r="BS84" s="43"/>
      <c r="BW84" s="43"/>
      <c r="CC84" s="43"/>
      <c r="CE84" s="43"/>
      <c r="CF84" s="43"/>
      <c r="CH84" s="43"/>
      <c r="CK84" s="43"/>
    </row>
    <row r="85" spans="2:89" x14ac:dyDescent="0.25">
      <c r="B85" s="89"/>
      <c r="C85" s="123"/>
      <c r="D85" s="47"/>
      <c r="E85" s="40"/>
      <c r="F85" s="43"/>
      <c r="G85" s="43"/>
      <c r="H85" s="41"/>
      <c r="I85" s="42"/>
      <c r="J85" s="42"/>
      <c r="K85" s="84"/>
      <c r="L85" s="45"/>
      <c r="M85" s="43"/>
      <c r="N85" s="42"/>
      <c r="O85" s="42"/>
      <c r="P85" s="42"/>
      <c r="Q85" s="42"/>
      <c r="R85" s="42"/>
      <c r="S85" s="42"/>
      <c r="T85" s="42"/>
      <c r="U85" s="67"/>
      <c r="V85" s="220"/>
      <c r="W85" s="48"/>
      <c r="X85" s="49"/>
      <c r="Y85" s="43"/>
      <c r="Z85" s="49"/>
      <c r="AA85" s="43"/>
      <c r="AB85" s="43"/>
      <c r="AC85" s="49"/>
      <c r="AE85" s="43"/>
      <c r="AF85" s="69"/>
      <c r="AH85" s="150"/>
      <c r="AI85" s="46"/>
      <c r="AJ85" s="138"/>
      <c r="AK85" s="138"/>
      <c r="AL85" s="138"/>
      <c r="AM85" s="42"/>
      <c r="AO85" s="42"/>
      <c r="AQ85" s="43"/>
      <c r="AR85" s="43"/>
      <c r="AS85" s="44"/>
      <c r="AT85" s="152"/>
      <c r="AU85" s="44"/>
      <c r="AW85" s="42"/>
      <c r="AX85" s="42"/>
      <c r="AY85" s="45"/>
      <c r="AZ85" s="47"/>
      <c r="BG85" s="43"/>
      <c r="BI85" s="43"/>
      <c r="BJ85" s="43"/>
      <c r="BK85" s="43"/>
      <c r="BL85" s="43"/>
      <c r="BM85" s="43"/>
      <c r="BO85" s="43"/>
      <c r="BR85" s="43"/>
      <c r="BS85" s="43"/>
      <c r="BW85" s="43"/>
      <c r="CC85" s="43"/>
      <c r="CE85" s="43"/>
      <c r="CF85" s="43"/>
      <c r="CH85" s="43"/>
      <c r="CK85" s="43"/>
    </row>
    <row r="86" spans="2:89" x14ac:dyDescent="0.25">
      <c r="B86" s="89"/>
      <c r="C86" s="123"/>
      <c r="D86" s="47"/>
      <c r="E86" s="40"/>
      <c r="F86" s="43"/>
      <c r="G86" s="43"/>
      <c r="H86" s="41"/>
      <c r="I86" s="42"/>
      <c r="J86" s="42"/>
      <c r="K86" s="84"/>
      <c r="L86" s="45"/>
      <c r="M86" s="50"/>
      <c r="N86" s="42"/>
      <c r="O86" s="42"/>
      <c r="P86" s="42"/>
      <c r="Q86" s="42"/>
      <c r="R86" s="42"/>
      <c r="S86" s="42"/>
      <c r="T86" s="42"/>
      <c r="U86" s="67"/>
      <c r="V86" s="220"/>
      <c r="W86" s="48"/>
      <c r="X86" s="49"/>
      <c r="Y86" s="43"/>
      <c r="Z86" s="49"/>
      <c r="AA86" s="43"/>
      <c r="AB86" s="43"/>
      <c r="AC86" s="49"/>
      <c r="AE86" s="43"/>
      <c r="AF86" s="69"/>
      <c r="AI86" s="46"/>
      <c r="AJ86" s="138"/>
      <c r="AK86" s="138"/>
      <c r="AL86" s="138"/>
      <c r="AM86" s="42"/>
      <c r="AO86" s="42"/>
      <c r="AQ86" s="43"/>
      <c r="AR86" s="43"/>
      <c r="AS86" s="44"/>
      <c r="AT86" s="44"/>
      <c r="AU86" s="44"/>
      <c r="AW86" s="42"/>
      <c r="AX86" s="42"/>
      <c r="AY86" s="45"/>
      <c r="AZ86" s="47"/>
      <c r="BG86" s="43"/>
      <c r="BI86" s="43"/>
      <c r="BJ86" s="43"/>
      <c r="BK86" s="43"/>
      <c r="BL86" s="43"/>
      <c r="BM86" s="43"/>
      <c r="BO86" s="43"/>
      <c r="BR86" s="43"/>
      <c r="BS86" s="43"/>
      <c r="BW86" s="43"/>
      <c r="CC86" s="43"/>
      <c r="CE86" s="43"/>
      <c r="CF86" s="43"/>
      <c r="CH86" s="43"/>
      <c r="CK86" s="43"/>
    </row>
    <row r="87" spans="2:89" x14ac:dyDescent="0.25">
      <c r="B87" s="89"/>
      <c r="C87" s="123"/>
      <c r="D87" s="47"/>
      <c r="E87" s="40"/>
      <c r="F87" s="43"/>
      <c r="G87" s="43"/>
      <c r="H87" s="41"/>
      <c r="I87" s="42"/>
      <c r="J87" s="42"/>
      <c r="K87" s="84"/>
      <c r="L87" s="45"/>
      <c r="M87" s="50"/>
      <c r="N87" s="42"/>
      <c r="O87" s="42"/>
      <c r="P87" s="229"/>
      <c r="Q87" s="42"/>
      <c r="R87" s="42"/>
      <c r="S87" s="42"/>
      <c r="T87" s="42"/>
      <c r="U87" s="67"/>
      <c r="V87" s="220"/>
      <c r="W87" s="48"/>
      <c r="X87" s="49"/>
      <c r="Y87" s="43"/>
      <c r="Z87" s="49"/>
      <c r="AA87" s="43"/>
      <c r="AB87" s="43"/>
      <c r="AC87" s="49"/>
      <c r="AE87" s="43"/>
      <c r="AF87" s="69"/>
      <c r="AI87" s="46"/>
      <c r="AJ87" s="138"/>
      <c r="AK87" s="138"/>
      <c r="AL87" s="138"/>
      <c r="AM87" s="42"/>
      <c r="AO87" s="42"/>
      <c r="AQ87" s="43"/>
      <c r="AR87" s="43"/>
      <c r="AS87" s="44"/>
      <c r="AT87" s="44"/>
      <c r="AU87" s="44"/>
      <c r="AW87" s="42"/>
      <c r="AX87" s="42"/>
      <c r="AY87" s="45"/>
      <c r="AZ87" s="47"/>
      <c r="BG87" s="43"/>
      <c r="BI87" s="43"/>
      <c r="BJ87" s="43"/>
      <c r="BK87" s="43"/>
      <c r="BL87" s="43"/>
      <c r="BM87" s="43"/>
      <c r="BO87" s="43"/>
      <c r="BR87" s="43"/>
      <c r="BS87" s="43"/>
      <c r="BW87" s="43"/>
      <c r="CC87" s="43"/>
      <c r="CE87" s="43"/>
      <c r="CF87" s="43"/>
      <c r="CH87" s="43"/>
      <c r="CK87" s="43"/>
    </row>
    <row r="88" spans="2:89" x14ac:dyDescent="0.25">
      <c r="B88" s="89"/>
      <c r="C88" s="123"/>
      <c r="D88" s="47"/>
      <c r="E88" s="40"/>
      <c r="F88" s="43"/>
      <c r="G88" s="43"/>
      <c r="H88" s="41"/>
      <c r="I88" s="42"/>
      <c r="J88" s="42"/>
      <c r="K88" s="84"/>
      <c r="L88" s="45"/>
      <c r="M88" s="50"/>
      <c r="N88" s="42"/>
      <c r="O88" s="42"/>
      <c r="P88" s="42"/>
      <c r="Q88" s="42"/>
      <c r="R88" s="42"/>
      <c r="S88" s="42"/>
      <c r="T88" s="42"/>
      <c r="U88" s="67"/>
      <c r="V88" s="220"/>
      <c r="W88" s="48"/>
      <c r="X88" s="49"/>
      <c r="Y88" s="43"/>
      <c r="Z88" s="49"/>
      <c r="AA88" s="43"/>
      <c r="AB88" s="43"/>
      <c r="AC88" s="49"/>
      <c r="AE88" s="43"/>
      <c r="AF88" s="69"/>
      <c r="AI88" s="46"/>
      <c r="AJ88" s="138"/>
      <c r="AK88" s="138"/>
      <c r="AL88" s="138"/>
      <c r="AM88" s="42"/>
      <c r="AO88" s="42"/>
      <c r="AQ88" s="43"/>
      <c r="AR88" s="43"/>
      <c r="AS88" s="44"/>
      <c r="AT88" s="44"/>
      <c r="AU88" s="44"/>
      <c r="AW88" s="42"/>
      <c r="AX88" s="42"/>
      <c r="AY88" s="45"/>
      <c r="AZ88" s="47"/>
      <c r="BG88" s="43"/>
      <c r="BI88" s="43"/>
      <c r="BJ88" s="43"/>
      <c r="BK88" s="43"/>
      <c r="BL88" s="43"/>
      <c r="BM88" s="43"/>
      <c r="BO88" s="43"/>
      <c r="BR88" s="43"/>
      <c r="BS88" s="43"/>
      <c r="BW88" s="43"/>
      <c r="CC88" s="43"/>
      <c r="CE88" s="43"/>
      <c r="CF88" s="43"/>
      <c r="CH88" s="43"/>
      <c r="CK88" s="43"/>
    </row>
    <row r="89" spans="2:89" x14ac:dyDescent="0.25">
      <c r="B89" s="89"/>
      <c r="C89" s="123"/>
      <c r="D89" s="47"/>
      <c r="E89" s="40"/>
      <c r="F89" s="43"/>
      <c r="G89" s="43"/>
      <c r="H89" s="41"/>
      <c r="I89" s="42"/>
      <c r="J89" s="42"/>
      <c r="K89" s="84"/>
      <c r="L89" s="45"/>
      <c r="M89" s="50"/>
      <c r="N89" s="42"/>
      <c r="O89" s="42"/>
      <c r="P89" s="223"/>
      <c r="Q89" s="42"/>
      <c r="R89" s="42"/>
      <c r="S89" s="42"/>
      <c r="T89" s="42"/>
      <c r="U89" s="67"/>
      <c r="V89" s="220"/>
      <c r="W89" s="48"/>
      <c r="X89" s="49"/>
      <c r="Y89" s="43"/>
      <c r="Z89" s="49"/>
      <c r="AA89" s="43"/>
      <c r="AB89" s="43"/>
      <c r="AC89" s="49"/>
      <c r="AE89" s="43"/>
      <c r="AF89" s="69"/>
      <c r="AI89" s="46"/>
      <c r="AJ89" s="138"/>
      <c r="AK89" s="138"/>
      <c r="AL89" s="138"/>
      <c r="AM89" s="42"/>
      <c r="AO89" s="42"/>
      <c r="AQ89" s="43"/>
      <c r="AR89" s="43"/>
      <c r="AS89" s="44"/>
      <c r="AT89" s="44"/>
      <c r="AU89" s="44"/>
      <c r="AW89" s="42"/>
      <c r="AX89" s="42"/>
      <c r="AY89" s="45"/>
      <c r="AZ89" s="47"/>
      <c r="BG89" s="43"/>
      <c r="BI89" s="43"/>
      <c r="BJ89" s="43"/>
      <c r="BK89" s="43"/>
      <c r="BL89" s="43"/>
      <c r="BM89" s="43"/>
      <c r="BO89" s="43"/>
      <c r="BR89" s="43"/>
      <c r="BS89" s="43"/>
      <c r="BW89" s="43"/>
      <c r="CC89" s="43"/>
      <c r="CE89" s="43"/>
      <c r="CF89" s="43"/>
      <c r="CH89" s="43"/>
      <c r="CK89" s="43"/>
    </row>
    <row r="90" spans="2:89" x14ac:dyDescent="0.25">
      <c r="B90" s="89"/>
      <c r="C90" s="123"/>
      <c r="D90" s="47"/>
      <c r="E90" s="40"/>
      <c r="F90" s="43"/>
      <c r="G90" s="43"/>
      <c r="H90" s="41"/>
      <c r="I90" s="42"/>
      <c r="J90" s="42"/>
      <c r="K90" s="84"/>
      <c r="L90" s="45"/>
      <c r="M90" s="50"/>
      <c r="N90" s="42"/>
      <c r="O90" s="42"/>
      <c r="P90" s="223"/>
      <c r="Q90" s="42"/>
      <c r="R90" s="42"/>
      <c r="S90" s="42"/>
      <c r="T90" s="42"/>
      <c r="U90" s="67"/>
      <c r="V90" s="220"/>
      <c r="W90" s="48"/>
      <c r="X90" s="49"/>
      <c r="Y90" s="43"/>
      <c r="Z90" s="49"/>
      <c r="AA90" s="43"/>
      <c r="AB90" s="43"/>
      <c r="AC90" s="49"/>
      <c r="AE90" s="43"/>
      <c r="AF90" s="69"/>
      <c r="AI90" s="46"/>
      <c r="AJ90" s="138"/>
      <c r="AK90" s="138"/>
      <c r="AL90" s="138"/>
      <c r="AM90" s="42"/>
      <c r="AO90" s="42"/>
      <c r="AQ90" s="43"/>
      <c r="AR90" s="43"/>
      <c r="AS90" s="44"/>
      <c r="AT90" s="44"/>
      <c r="AU90" s="44"/>
      <c r="AW90" s="42"/>
      <c r="AX90" s="42"/>
      <c r="AY90" s="45"/>
      <c r="AZ90" s="47"/>
      <c r="BG90" s="43"/>
      <c r="BI90" s="43"/>
      <c r="BJ90" s="43"/>
      <c r="BK90" s="43"/>
      <c r="BL90" s="43"/>
      <c r="BM90" s="43"/>
      <c r="BO90" s="43"/>
      <c r="BR90" s="43"/>
      <c r="BS90" s="43"/>
      <c r="BW90" s="43"/>
      <c r="CC90" s="43"/>
      <c r="CE90" s="43"/>
      <c r="CF90" s="43"/>
      <c r="CH90" s="43"/>
      <c r="CK90" s="43"/>
    </row>
    <row r="91" spans="2:89" x14ac:dyDescent="0.25">
      <c r="B91" s="89"/>
      <c r="C91" s="123"/>
      <c r="D91" s="47"/>
      <c r="E91" s="40"/>
      <c r="F91" s="43"/>
      <c r="G91" s="43"/>
      <c r="H91" s="41"/>
      <c r="I91" s="42"/>
      <c r="J91" s="42"/>
      <c r="K91" s="84"/>
      <c r="L91" s="45"/>
      <c r="M91" s="50"/>
      <c r="N91" s="42"/>
      <c r="O91" s="42"/>
      <c r="P91" s="223"/>
      <c r="Q91" s="42"/>
      <c r="R91" s="42"/>
      <c r="S91" s="42"/>
      <c r="T91" s="42"/>
      <c r="U91" s="67"/>
      <c r="V91" s="220"/>
      <c r="W91" s="48"/>
      <c r="X91" s="49"/>
      <c r="Y91" s="43"/>
      <c r="Z91" s="49"/>
      <c r="AA91" s="43"/>
      <c r="AB91" s="43"/>
      <c r="AC91" s="49"/>
      <c r="AE91" s="43"/>
      <c r="AF91" s="69"/>
      <c r="AI91" s="46"/>
      <c r="AJ91" s="138"/>
      <c r="AK91" s="138"/>
      <c r="AL91" s="138"/>
      <c r="AM91" s="42"/>
      <c r="AO91" s="42"/>
      <c r="AQ91" s="43"/>
      <c r="AR91" s="43"/>
      <c r="AS91" s="44"/>
      <c r="AT91" s="44"/>
      <c r="AU91" s="44"/>
      <c r="AW91" s="42"/>
      <c r="AX91" s="42"/>
      <c r="AY91" s="45"/>
      <c r="AZ91" s="47"/>
      <c r="BG91" s="43"/>
      <c r="BI91" s="43"/>
      <c r="BJ91" s="43"/>
      <c r="BK91" s="43"/>
      <c r="BL91" s="43"/>
      <c r="BM91" s="43"/>
      <c r="BO91" s="43"/>
      <c r="BR91" s="43"/>
      <c r="BS91" s="43"/>
      <c r="BW91" s="43"/>
      <c r="CC91" s="43"/>
      <c r="CE91" s="43"/>
      <c r="CF91" s="43"/>
      <c r="CH91" s="43"/>
      <c r="CK91" s="43"/>
    </row>
    <row r="92" spans="2:89" x14ac:dyDescent="0.25">
      <c r="B92" s="191"/>
      <c r="C92" s="127"/>
      <c r="D92" s="47"/>
      <c r="E92" s="40"/>
      <c r="F92" s="144"/>
      <c r="G92" s="144"/>
      <c r="H92" s="183"/>
      <c r="I92" s="190"/>
      <c r="J92" s="190"/>
      <c r="K92" s="84"/>
      <c r="L92" s="45"/>
      <c r="M92" s="50"/>
      <c r="N92" s="42"/>
      <c r="O92" s="42"/>
      <c r="P92" s="223"/>
      <c r="Q92" s="42"/>
      <c r="R92" s="42"/>
      <c r="S92" s="227"/>
      <c r="T92" s="42"/>
      <c r="U92" s="185"/>
      <c r="V92" s="220"/>
      <c r="W92" s="48"/>
      <c r="X92" s="49"/>
      <c r="Y92" s="43"/>
      <c r="Z92" s="49"/>
      <c r="AA92" s="43"/>
      <c r="AB92" s="43"/>
      <c r="AC92" s="49"/>
      <c r="AE92" s="43"/>
      <c r="AF92" s="69"/>
      <c r="AG92" s="69"/>
      <c r="AI92" s="46"/>
      <c r="AJ92" s="138"/>
      <c r="AK92" s="186"/>
      <c r="AL92" s="186"/>
      <c r="AM92" s="74"/>
      <c r="AN92" s="74"/>
      <c r="AO92" s="74"/>
      <c r="AP92" s="74"/>
      <c r="AQ92" s="81"/>
      <c r="AR92" s="81"/>
      <c r="AS92" s="82"/>
      <c r="AT92" s="82"/>
      <c r="AU92" s="249"/>
      <c r="AV92" s="81"/>
      <c r="AW92" s="74"/>
      <c r="AX92" s="74"/>
      <c r="AY92" s="74"/>
      <c r="AZ92" s="83"/>
      <c r="BG92" s="43"/>
      <c r="BI92" s="43"/>
      <c r="BJ92" s="43"/>
      <c r="BK92" s="43"/>
      <c r="BL92" s="43"/>
      <c r="BM92" s="43"/>
      <c r="BO92" s="43"/>
      <c r="BR92" s="43"/>
      <c r="BS92" s="43"/>
      <c r="BW92" s="43"/>
      <c r="CC92" s="43"/>
      <c r="CE92" s="43"/>
      <c r="CF92" s="43"/>
      <c r="CH92" s="43"/>
      <c r="CK92" s="43"/>
    </row>
    <row r="93" spans="2:89" x14ac:dyDescent="0.25">
      <c r="B93" s="89"/>
      <c r="C93" s="123"/>
      <c r="D93" s="47"/>
      <c r="E93" s="40"/>
      <c r="F93" s="43"/>
      <c r="G93" s="43"/>
      <c r="H93" s="41"/>
      <c r="I93" s="42"/>
      <c r="J93" s="42"/>
      <c r="K93" s="84"/>
      <c r="L93" s="45"/>
      <c r="M93" s="43"/>
      <c r="N93" s="42"/>
      <c r="O93" s="42"/>
      <c r="P93" s="223"/>
      <c r="Q93" s="42"/>
      <c r="R93" s="42"/>
      <c r="S93" s="42"/>
      <c r="T93" s="42"/>
      <c r="U93" s="67"/>
      <c r="V93" s="220"/>
      <c r="W93" s="48"/>
      <c r="X93" s="49"/>
      <c r="Y93" s="43"/>
      <c r="Z93" s="49"/>
      <c r="AA93" s="43"/>
      <c r="AB93" s="43"/>
      <c r="AC93" s="49"/>
      <c r="AE93" s="43"/>
      <c r="AF93" s="69"/>
      <c r="AI93" s="46"/>
      <c r="AJ93" s="138"/>
      <c r="AK93" s="138"/>
      <c r="AL93" s="138"/>
      <c r="AM93" s="42"/>
      <c r="AO93" s="42"/>
      <c r="AQ93" s="43"/>
      <c r="AR93" s="43"/>
      <c r="AS93" s="44"/>
      <c r="AT93" s="44"/>
      <c r="AU93" s="44"/>
      <c r="AW93" s="42"/>
      <c r="AX93" s="42"/>
      <c r="AY93" s="45"/>
      <c r="AZ93" s="47"/>
      <c r="BG93" s="43"/>
      <c r="BI93" s="43"/>
      <c r="BJ93" s="43"/>
      <c r="BK93" s="43"/>
      <c r="BL93" s="43"/>
      <c r="BM93" s="43"/>
      <c r="BO93" s="43"/>
      <c r="BR93" s="43"/>
      <c r="BS93" s="43"/>
      <c r="BW93" s="43"/>
      <c r="CC93" s="43"/>
      <c r="CE93" s="43"/>
      <c r="CF93" s="43"/>
      <c r="CH93" s="43"/>
      <c r="CK93" s="43"/>
    </row>
    <row r="94" spans="2:89" x14ac:dyDescent="0.25">
      <c r="B94" s="89"/>
      <c r="C94" s="126"/>
      <c r="D94" s="47"/>
      <c r="E94" s="40"/>
      <c r="F94" s="43"/>
      <c r="G94" s="43"/>
      <c r="H94" s="41"/>
      <c r="I94" s="42"/>
      <c r="J94" s="42"/>
      <c r="K94" s="84"/>
      <c r="L94" s="45"/>
      <c r="M94" s="50"/>
      <c r="N94" s="42"/>
      <c r="O94" s="42"/>
      <c r="P94" s="223"/>
      <c r="Q94" s="42"/>
      <c r="R94" s="42"/>
      <c r="S94" s="42"/>
      <c r="T94" s="42"/>
      <c r="U94" s="67"/>
      <c r="V94" s="220"/>
      <c r="W94" s="48"/>
      <c r="X94" s="49"/>
      <c r="Y94" s="43"/>
      <c r="Z94" s="49"/>
      <c r="AA94" s="43"/>
      <c r="AB94" s="43"/>
      <c r="AC94" s="49"/>
      <c r="AE94" s="43"/>
      <c r="AF94" s="69"/>
      <c r="AI94" s="46"/>
      <c r="AJ94" s="138"/>
      <c r="AK94" s="138"/>
      <c r="AL94" s="138"/>
      <c r="AM94" s="42"/>
      <c r="AO94" s="42"/>
      <c r="AQ94" s="43"/>
      <c r="AR94" s="43"/>
      <c r="AS94" s="44"/>
      <c r="AT94" s="44"/>
      <c r="AU94" s="44"/>
      <c r="AW94" s="42"/>
      <c r="AX94" s="42"/>
      <c r="AY94" s="45"/>
      <c r="AZ94" s="47"/>
      <c r="BG94" s="43"/>
      <c r="BI94" s="43"/>
      <c r="BJ94" s="43"/>
      <c r="BK94" s="43"/>
      <c r="BL94" s="43"/>
      <c r="BM94" s="43"/>
      <c r="BO94" s="43"/>
      <c r="BR94" s="43"/>
      <c r="BS94" s="43"/>
      <c r="BW94" s="43"/>
      <c r="CC94" s="43"/>
      <c r="CE94" s="43"/>
      <c r="CF94" s="43"/>
      <c r="CH94" s="43"/>
      <c r="CK94" s="43"/>
    </row>
    <row r="95" spans="2:89" x14ac:dyDescent="0.25">
      <c r="B95" s="89"/>
      <c r="C95" s="123"/>
      <c r="D95" s="47"/>
      <c r="E95" s="40"/>
      <c r="F95" s="43"/>
      <c r="G95" s="43"/>
      <c r="H95" s="41"/>
      <c r="I95" s="42"/>
      <c r="J95" s="42"/>
      <c r="K95" s="84"/>
      <c r="L95" s="45"/>
      <c r="M95" s="50"/>
      <c r="N95" s="42"/>
      <c r="O95" s="42"/>
      <c r="P95" s="223"/>
      <c r="Q95" s="42"/>
      <c r="R95" s="42"/>
      <c r="S95" s="42"/>
      <c r="T95" s="42"/>
      <c r="U95" s="67"/>
      <c r="V95" s="220"/>
      <c r="W95" s="48"/>
      <c r="X95" s="49"/>
      <c r="Y95" s="43"/>
      <c r="Z95" s="49"/>
      <c r="AA95" s="43"/>
      <c r="AB95" s="43"/>
      <c r="AC95" s="49"/>
      <c r="AE95" s="43"/>
      <c r="AF95" s="69"/>
      <c r="AI95" s="46"/>
      <c r="AJ95" s="138"/>
      <c r="AK95" s="138"/>
      <c r="AL95" s="138"/>
      <c r="AM95" s="42"/>
      <c r="AO95" s="42"/>
      <c r="AQ95" s="43"/>
      <c r="AR95" s="43"/>
      <c r="AS95" s="44"/>
      <c r="AT95" s="44"/>
      <c r="AU95" s="44"/>
      <c r="AW95" s="42"/>
      <c r="AX95" s="42"/>
      <c r="AY95" s="45"/>
      <c r="AZ95" s="47"/>
      <c r="BG95" s="43"/>
      <c r="BI95" s="43"/>
      <c r="BJ95" s="43"/>
      <c r="BK95" s="43"/>
      <c r="BL95" s="43"/>
      <c r="BM95" s="43"/>
      <c r="BO95" s="43"/>
      <c r="BR95" s="43"/>
      <c r="BS95" s="43"/>
      <c r="BW95" s="43"/>
      <c r="CC95" s="43"/>
      <c r="CE95" s="43"/>
      <c r="CF95" s="43"/>
      <c r="CH95" s="43"/>
      <c r="CK95" s="43"/>
    </row>
    <row r="96" spans="2:89" x14ac:dyDescent="0.25">
      <c r="B96" s="89"/>
      <c r="C96" s="123"/>
      <c r="D96" s="47"/>
      <c r="E96" s="40"/>
      <c r="F96" s="43"/>
      <c r="G96" s="43"/>
      <c r="H96" s="41"/>
      <c r="I96" s="42"/>
      <c r="J96" s="42"/>
      <c r="K96" s="84"/>
      <c r="L96" s="45"/>
      <c r="M96" s="50"/>
      <c r="N96" s="42"/>
      <c r="O96" s="42"/>
      <c r="P96" s="223"/>
      <c r="Q96" s="42"/>
      <c r="R96" s="42"/>
      <c r="S96" s="42"/>
      <c r="T96" s="42"/>
      <c r="U96" s="67"/>
      <c r="V96" s="220"/>
      <c r="W96" s="48"/>
      <c r="X96" s="49"/>
      <c r="Y96" s="43"/>
      <c r="Z96" s="49"/>
      <c r="AA96" s="43"/>
      <c r="AB96" s="43"/>
      <c r="AC96" s="49"/>
      <c r="AE96" s="43"/>
      <c r="AF96" s="69"/>
      <c r="AI96" s="46"/>
      <c r="AJ96" s="138"/>
      <c r="AK96" s="138"/>
      <c r="AL96" s="138"/>
      <c r="AM96" s="42"/>
      <c r="AO96" s="42"/>
      <c r="AQ96" s="43"/>
      <c r="AR96" s="43"/>
      <c r="AS96" s="44"/>
      <c r="AT96" s="44"/>
      <c r="AU96" s="44"/>
      <c r="AW96" s="42"/>
      <c r="AX96" s="42"/>
      <c r="AY96" s="45"/>
      <c r="AZ96" s="47"/>
      <c r="BG96" s="43"/>
      <c r="BI96" s="43"/>
      <c r="BJ96" s="43"/>
      <c r="BK96" s="43"/>
      <c r="BL96" s="43"/>
      <c r="BM96" s="43"/>
      <c r="BO96" s="43"/>
      <c r="BR96" s="43"/>
      <c r="BS96" s="43"/>
      <c r="BW96" s="43"/>
      <c r="CC96" s="43"/>
      <c r="CE96" s="43"/>
      <c r="CF96" s="43"/>
      <c r="CH96" s="43"/>
      <c r="CK96" s="43"/>
    </row>
    <row r="97" spans="2:89" x14ac:dyDescent="0.25">
      <c r="B97" s="89"/>
      <c r="C97" s="123"/>
      <c r="D97" s="47"/>
      <c r="E97" s="40"/>
      <c r="F97" s="43"/>
      <c r="G97" s="43"/>
      <c r="H97" s="41"/>
      <c r="I97" s="42"/>
      <c r="J97" s="42"/>
      <c r="K97" s="84"/>
      <c r="L97" s="45"/>
      <c r="M97" s="50"/>
      <c r="N97" s="42"/>
      <c r="O97" s="42"/>
      <c r="P97" s="223"/>
      <c r="Q97" s="42"/>
      <c r="R97" s="42"/>
      <c r="S97" s="42"/>
      <c r="T97" s="42"/>
      <c r="U97" s="67"/>
      <c r="V97" s="220"/>
      <c r="W97" s="48"/>
      <c r="X97" s="49"/>
      <c r="Y97" s="43"/>
      <c r="Z97" s="49"/>
      <c r="AA97" s="43"/>
      <c r="AB97" s="43"/>
      <c r="AC97" s="49"/>
      <c r="AE97" s="43"/>
      <c r="AF97" s="69"/>
      <c r="AI97" s="46"/>
      <c r="AJ97" s="138"/>
      <c r="AK97" s="138"/>
      <c r="AL97" s="138"/>
      <c r="AM97" s="42"/>
      <c r="AO97" s="42"/>
      <c r="AQ97" s="43"/>
      <c r="AR97" s="43"/>
      <c r="AS97" s="44"/>
      <c r="AT97" s="44"/>
      <c r="AU97" s="44"/>
      <c r="AW97" s="42"/>
      <c r="AX97" s="42"/>
      <c r="AY97" s="45"/>
      <c r="AZ97" s="47"/>
      <c r="BG97" s="43"/>
      <c r="BI97" s="43"/>
      <c r="BJ97" s="43"/>
      <c r="BK97" s="43"/>
      <c r="BL97" s="43"/>
      <c r="BM97" s="43"/>
      <c r="BO97" s="43"/>
      <c r="BR97" s="43"/>
      <c r="BS97" s="43"/>
      <c r="BW97" s="43"/>
      <c r="CC97" s="43"/>
      <c r="CE97" s="43"/>
      <c r="CF97" s="43"/>
      <c r="CH97" s="43"/>
      <c r="CK97" s="43"/>
    </row>
    <row r="98" spans="2:89" x14ac:dyDescent="0.25">
      <c r="B98" s="89"/>
      <c r="C98" s="123"/>
      <c r="D98" s="47"/>
      <c r="E98" s="40"/>
      <c r="F98" s="43"/>
      <c r="G98" s="43"/>
      <c r="H98" s="41"/>
      <c r="I98" s="42"/>
      <c r="J98" s="42"/>
      <c r="K98" s="84"/>
      <c r="L98" s="45"/>
      <c r="M98" s="50"/>
      <c r="N98" s="42"/>
      <c r="O98" s="42"/>
      <c r="P98" s="223"/>
      <c r="Q98" s="42"/>
      <c r="R98" s="42"/>
      <c r="S98" s="42"/>
      <c r="T98" s="42"/>
      <c r="U98" s="67"/>
      <c r="V98" s="220"/>
      <c r="W98" s="48"/>
      <c r="X98" s="49"/>
      <c r="Y98" s="43"/>
      <c r="Z98" s="49"/>
      <c r="AA98" s="43"/>
      <c r="AB98" s="43"/>
      <c r="AC98" s="49"/>
      <c r="AE98" s="128"/>
      <c r="AF98" s="69"/>
      <c r="AI98" s="46"/>
      <c r="AJ98" s="138"/>
      <c r="AK98" s="138"/>
      <c r="AL98" s="138"/>
      <c r="AM98" s="42"/>
      <c r="AO98" s="42"/>
      <c r="AQ98" s="43"/>
      <c r="AR98" s="43"/>
      <c r="AS98" s="44"/>
      <c r="AT98" s="44"/>
      <c r="AU98" s="44"/>
      <c r="AW98" s="42"/>
      <c r="AX98" s="42"/>
      <c r="AY98" s="45"/>
      <c r="AZ98" s="47"/>
      <c r="BG98" s="43"/>
      <c r="BI98" s="43"/>
      <c r="BJ98" s="43"/>
      <c r="BK98" s="43"/>
      <c r="BL98" s="43"/>
      <c r="BM98" s="43"/>
      <c r="BO98" s="43"/>
      <c r="BR98" s="43"/>
      <c r="BS98" s="43"/>
      <c r="BW98" s="43"/>
      <c r="CC98" s="43"/>
      <c r="CE98" s="43"/>
      <c r="CF98" s="43"/>
      <c r="CH98" s="43"/>
      <c r="CK98" s="43"/>
    </row>
    <row r="99" spans="2:89" x14ac:dyDescent="0.25">
      <c r="B99" s="89"/>
      <c r="C99" s="123"/>
      <c r="D99" s="47"/>
      <c r="E99" s="40"/>
      <c r="F99" s="43"/>
      <c r="G99" s="43"/>
      <c r="H99" s="41"/>
      <c r="I99" s="42"/>
      <c r="J99" s="42"/>
      <c r="K99" s="84"/>
      <c r="L99" s="45"/>
      <c r="M99" s="50"/>
      <c r="N99" s="42"/>
      <c r="O99" s="42"/>
      <c r="P99" s="223"/>
      <c r="Q99" s="42"/>
      <c r="R99" s="42"/>
      <c r="S99" s="42"/>
      <c r="T99" s="42"/>
      <c r="U99" s="67"/>
      <c r="V99" s="220"/>
      <c r="W99" s="48"/>
      <c r="X99" s="49"/>
      <c r="Y99" s="43"/>
      <c r="Z99" s="49"/>
      <c r="AA99" s="43"/>
      <c r="AB99" s="43"/>
      <c r="AC99" s="49"/>
      <c r="AE99" s="43"/>
      <c r="AF99" s="69"/>
      <c r="AI99" s="46"/>
      <c r="AJ99" s="138"/>
      <c r="AK99" s="138"/>
      <c r="AL99" s="138"/>
      <c r="AM99" s="42"/>
      <c r="AO99" s="42"/>
      <c r="AQ99" s="43"/>
      <c r="AR99" s="43"/>
      <c r="AS99" s="44"/>
      <c r="AT99" s="44"/>
      <c r="AU99" s="44"/>
      <c r="AW99" s="42"/>
      <c r="AX99" s="42"/>
      <c r="AY99" s="45"/>
      <c r="AZ99" s="47"/>
      <c r="BG99" s="43"/>
      <c r="BI99" s="43"/>
      <c r="BJ99" s="43"/>
      <c r="BK99" s="43"/>
      <c r="BL99" s="43"/>
      <c r="BM99" s="43"/>
      <c r="BO99" s="43"/>
      <c r="BR99" s="43"/>
      <c r="BS99" s="43"/>
      <c r="BW99" s="43"/>
      <c r="CC99" s="43"/>
      <c r="CE99" s="43"/>
      <c r="CF99" s="43"/>
      <c r="CH99" s="43"/>
      <c r="CK99" s="43"/>
    </row>
    <row r="100" spans="2:89" x14ac:dyDescent="0.25">
      <c r="B100" s="89"/>
      <c r="C100" s="123"/>
      <c r="D100" s="47"/>
      <c r="E100" s="40"/>
      <c r="F100" s="43"/>
      <c r="G100" s="43"/>
      <c r="H100" s="41"/>
      <c r="I100" s="42"/>
      <c r="J100" s="42"/>
      <c r="K100" s="84"/>
      <c r="L100" s="45"/>
      <c r="M100" s="50"/>
      <c r="N100" s="42"/>
      <c r="O100" s="42"/>
      <c r="P100" s="223"/>
      <c r="Q100" s="42"/>
      <c r="R100" s="42"/>
      <c r="S100" s="42"/>
      <c r="T100" s="42"/>
      <c r="U100" s="67"/>
      <c r="V100" s="220"/>
      <c r="W100" s="48"/>
      <c r="X100" s="49"/>
      <c r="Y100" s="43"/>
      <c r="Z100" s="49"/>
      <c r="AA100" s="43"/>
      <c r="AB100" s="43"/>
      <c r="AC100" s="49"/>
      <c r="AE100" s="43"/>
      <c r="AF100" s="69"/>
      <c r="AI100" s="46"/>
      <c r="AJ100" s="138"/>
      <c r="AK100" s="138"/>
      <c r="AL100" s="138"/>
      <c r="AM100" s="42"/>
      <c r="AO100" s="42"/>
      <c r="AQ100" s="43"/>
      <c r="AR100" s="43"/>
      <c r="AS100" s="44"/>
      <c r="AT100" s="44"/>
      <c r="AU100" s="44"/>
      <c r="AW100" s="42"/>
      <c r="AX100" s="42"/>
      <c r="AY100" s="45"/>
      <c r="AZ100" s="47"/>
      <c r="BG100" s="43"/>
      <c r="BI100" s="43"/>
      <c r="BJ100" s="43"/>
      <c r="BK100" s="43"/>
      <c r="BL100" s="43"/>
      <c r="BM100" s="43"/>
      <c r="BO100" s="43"/>
      <c r="BR100" s="43"/>
      <c r="BS100" s="43"/>
      <c r="BW100" s="43"/>
      <c r="CC100" s="43"/>
      <c r="CE100" s="43"/>
      <c r="CF100" s="43"/>
      <c r="CH100" s="43"/>
      <c r="CK100" s="43"/>
    </row>
    <row r="101" spans="2:89" x14ac:dyDescent="0.25">
      <c r="B101" s="89"/>
      <c r="C101" s="123"/>
      <c r="D101" s="47"/>
      <c r="E101" s="40"/>
      <c r="F101" s="43"/>
      <c r="G101" s="43"/>
      <c r="H101" s="41"/>
      <c r="I101" s="42"/>
      <c r="J101" s="42"/>
      <c r="K101" s="84"/>
      <c r="L101" s="45"/>
      <c r="M101" s="50"/>
      <c r="N101" s="42"/>
      <c r="O101" s="42"/>
      <c r="P101" s="223"/>
      <c r="Q101" s="42"/>
      <c r="R101" s="42"/>
      <c r="S101" s="42"/>
      <c r="T101" s="42"/>
      <c r="U101" s="67"/>
      <c r="V101" s="220"/>
      <c r="W101" s="48"/>
      <c r="X101" s="49"/>
      <c r="Y101" s="43"/>
      <c r="Z101" s="49"/>
      <c r="AA101" s="43"/>
      <c r="AB101" s="43"/>
      <c r="AC101" s="49"/>
      <c r="AE101" s="43"/>
      <c r="AF101" s="69"/>
      <c r="AI101" s="46"/>
      <c r="AJ101" s="138"/>
      <c r="AK101" s="138"/>
      <c r="AL101" s="138"/>
      <c r="AM101" s="42"/>
      <c r="AO101" s="42"/>
      <c r="AQ101" s="43"/>
      <c r="AR101" s="43"/>
      <c r="AS101" s="44"/>
      <c r="AT101" s="44"/>
      <c r="AU101" s="44"/>
      <c r="AW101" s="42"/>
      <c r="AX101" s="42"/>
      <c r="AY101" s="45"/>
      <c r="AZ101" s="47"/>
      <c r="BG101" s="43"/>
      <c r="BI101" s="43"/>
      <c r="BJ101" s="43"/>
      <c r="BK101" s="43"/>
      <c r="BL101" s="43"/>
      <c r="BM101" s="43"/>
      <c r="BO101" s="43"/>
      <c r="BR101" s="43"/>
      <c r="BS101" s="43"/>
      <c r="BW101" s="43"/>
      <c r="CC101" s="43"/>
      <c r="CE101" s="43"/>
      <c r="CF101" s="43"/>
      <c r="CH101" s="43"/>
      <c r="CK101" s="43"/>
    </row>
    <row r="102" spans="2:89" ht="15.75" customHeight="1" x14ac:dyDescent="0.25">
      <c r="B102" s="89"/>
      <c r="C102" s="123"/>
      <c r="D102" s="47"/>
      <c r="E102" s="40"/>
      <c r="F102" s="43"/>
      <c r="G102" s="43"/>
      <c r="H102" s="41"/>
      <c r="I102" s="42"/>
      <c r="J102" s="42"/>
      <c r="K102" s="84"/>
      <c r="L102" s="45"/>
      <c r="M102" s="50"/>
      <c r="N102" s="42"/>
      <c r="O102" s="42"/>
      <c r="P102" s="223"/>
      <c r="Q102" s="42"/>
      <c r="R102" s="42"/>
      <c r="S102" s="42"/>
      <c r="T102" s="42"/>
      <c r="U102" s="67"/>
      <c r="V102" s="220"/>
      <c r="W102" s="48"/>
      <c r="X102" s="49"/>
      <c r="Y102" s="43"/>
      <c r="Z102" s="49"/>
      <c r="AA102" s="43"/>
      <c r="AB102" s="43"/>
      <c r="AC102" s="49"/>
      <c r="AE102" s="43"/>
      <c r="AF102" s="69"/>
      <c r="AI102" s="46"/>
      <c r="AJ102" s="138"/>
      <c r="AK102" s="138"/>
      <c r="AL102" s="138"/>
      <c r="AM102" s="42"/>
      <c r="AO102" s="42"/>
      <c r="AQ102" s="43"/>
      <c r="AR102" s="43"/>
      <c r="AS102" s="44"/>
      <c r="AT102" s="44"/>
      <c r="AU102" s="44"/>
      <c r="AW102" s="42"/>
      <c r="AX102" s="42"/>
      <c r="AY102" s="45"/>
      <c r="AZ102" s="47"/>
      <c r="BG102" s="43"/>
      <c r="BI102" s="43"/>
      <c r="BJ102" s="43"/>
      <c r="BK102" s="43"/>
      <c r="BL102" s="43"/>
      <c r="BM102" s="43"/>
      <c r="BO102" s="43"/>
      <c r="BR102" s="43"/>
      <c r="BS102" s="43"/>
      <c r="BW102" s="43"/>
      <c r="CC102" s="43"/>
      <c r="CE102" s="43"/>
      <c r="CF102" s="43"/>
      <c r="CH102" s="43"/>
      <c r="CK102" s="43"/>
    </row>
    <row r="103" spans="2:89" x14ac:dyDescent="0.25">
      <c r="B103" s="191"/>
      <c r="C103" s="192"/>
      <c r="D103" s="47"/>
      <c r="E103" s="40"/>
      <c r="F103" s="172"/>
      <c r="G103" s="172"/>
      <c r="H103" s="183"/>
      <c r="I103" s="189"/>
      <c r="J103" s="189"/>
      <c r="K103" s="184"/>
      <c r="L103" s="45"/>
      <c r="M103" s="50"/>
      <c r="N103" s="42"/>
      <c r="O103" s="42"/>
      <c r="P103" s="42"/>
      <c r="Q103" s="42"/>
      <c r="R103" s="42"/>
      <c r="S103" s="227"/>
      <c r="T103" s="42"/>
      <c r="U103" s="185"/>
      <c r="V103" s="222"/>
      <c r="W103" s="48"/>
      <c r="X103" s="49"/>
      <c r="Y103" s="43"/>
      <c r="Z103" s="49"/>
      <c r="AA103" s="43"/>
      <c r="AB103" s="43"/>
      <c r="AC103" s="49"/>
      <c r="AE103" s="43"/>
      <c r="AF103" s="69"/>
      <c r="AG103" s="69"/>
      <c r="AI103" s="46"/>
      <c r="AJ103" s="138"/>
      <c r="AK103" s="186"/>
      <c r="AL103" s="186"/>
      <c r="AM103" s="74"/>
      <c r="AN103" s="74"/>
      <c r="AO103" s="74"/>
      <c r="AP103" s="74"/>
      <c r="AQ103" s="81"/>
      <c r="AR103" s="81"/>
      <c r="AS103" s="82"/>
      <c r="AT103" s="82"/>
      <c r="AU103" s="249"/>
      <c r="AV103" s="81"/>
      <c r="AW103" s="74"/>
      <c r="AX103" s="74"/>
      <c r="AY103" s="74"/>
      <c r="AZ103" s="83"/>
      <c r="BG103" s="43"/>
      <c r="BI103" s="43"/>
      <c r="BJ103" s="43"/>
      <c r="BK103" s="43"/>
      <c r="BL103" s="43"/>
      <c r="BM103" s="43"/>
      <c r="BO103" s="43"/>
      <c r="BR103" s="43"/>
      <c r="BS103" s="43"/>
      <c r="BW103" s="43"/>
      <c r="CC103" s="43"/>
      <c r="CE103" s="43"/>
      <c r="CF103" s="43"/>
      <c r="CH103" s="43"/>
      <c r="CK103" s="43"/>
    </row>
    <row r="104" spans="2:89" x14ac:dyDescent="0.25">
      <c r="B104" s="89"/>
      <c r="C104" s="123"/>
      <c r="D104" s="47"/>
      <c r="E104" s="40"/>
      <c r="F104" s="43"/>
      <c r="G104" s="43"/>
      <c r="H104" s="41"/>
      <c r="I104" s="42"/>
      <c r="J104" s="42"/>
      <c r="K104" s="84"/>
      <c r="L104" s="45"/>
      <c r="M104" s="50"/>
      <c r="N104" s="42"/>
      <c r="O104" s="42"/>
      <c r="P104" s="223"/>
      <c r="Q104" s="42"/>
      <c r="R104" s="42"/>
      <c r="S104" s="42"/>
      <c r="T104" s="42"/>
      <c r="U104" s="67"/>
      <c r="V104" s="220"/>
      <c r="W104" s="48"/>
      <c r="X104" s="49"/>
      <c r="Y104" s="43"/>
      <c r="Z104" s="49"/>
      <c r="AA104" s="43"/>
      <c r="AB104" s="43"/>
      <c r="AC104" s="49"/>
      <c r="AE104" s="43"/>
      <c r="AF104" s="69"/>
      <c r="AI104" s="46"/>
      <c r="AJ104" s="138"/>
      <c r="AK104" s="138"/>
      <c r="AL104" s="138"/>
      <c r="AM104" s="42"/>
      <c r="AO104" s="42"/>
      <c r="AQ104" s="43"/>
      <c r="AR104" s="43"/>
      <c r="AS104" s="44"/>
      <c r="AT104" s="44"/>
      <c r="AU104" s="44"/>
      <c r="AW104" s="42"/>
      <c r="AX104" s="42"/>
      <c r="AY104" s="45"/>
      <c r="AZ104" s="47"/>
      <c r="BG104" s="43"/>
      <c r="BI104" s="43"/>
      <c r="BJ104" s="43"/>
      <c r="BK104" s="43"/>
      <c r="BL104" s="43"/>
      <c r="BM104" s="43"/>
      <c r="BO104" s="43"/>
      <c r="BR104" s="43"/>
      <c r="BS104" s="43"/>
      <c r="BW104" s="43"/>
      <c r="CC104" s="43"/>
      <c r="CE104" s="43"/>
      <c r="CF104" s="43"/>
      <c r="CH104" s="43"/>
      <c r="CK104" s="43"/>
    </row>
    <row r="105" spans="2:89" x14ac:dyDescent="0.25">
      <c r="B105" s="191"/>
      <c r="C105" s="192"/>
      <c r="D105" s="47"/>
      <c r="E105" s="40"/>
      <c r="F105" s="172"/>
      <c r="G105" s="172"/>
      <c r="H105" s="183"/>
      <c r="I105" s="42"/>
      <c r="J105" s="42"/>
      <c r="K105" s="184"/>
      <c r="L105" s="45"/>
      <c r="M105" s="50"/>
      <c r="N105" s="42"/>
      <c r="O105" s="42"/>
      <c r="P105" s="223"/>
      <c r="Q105" s="42"/>
      <c r="R105" s="42"/>
      <c r="S105" s="227"/>
      <c r="T105" s="42"/>
      <c r="U105" s="185"/>
      <c r="V105" s="220"/>
      <c r="W105" s="48"/>
      <c r="X105" s="49"/>
      <c r="Y105" s="43"/>
      <c r="Z105" s="49"/>
      <c r="AA105" s="43"/>
      <c r="AB105" s="43"/>
      <c r="AC105" s="49"/>
      <c r="AE105" s="43"/>
      <c r="AF105" s="69"/>
      <c r="AG105" s="69"/>
      <c r="AI105" s="46"/>
      <c r="AJ105" s="138"/>
      <c r="AK105" s="186"/>
      <c r="AL105" s="186"/>
      <c r="AM105" s="74"/>
      <c r="AN105" s="74"/>
      <c r="AO105" s="74"/>
      <c r="AP105" s="74"/>
      <c r="AQ105" s="81"/>
      <c r="AR105" s="81"/>
      <c r="AS105" s="82"/>
      <c r="AT105" s="82"/>
      <c r="AU105" s="249"/>
      <c r="AV105" s="81"/>
      <c r="AW105" s="74"/>
      <c r="AX105" s="74"/>
      <c r="AY105" s="74"/>
      <c r="AZ105" s="83"/>
      <c r="BG105" s="43"/>
      <c r="BI105" s="43"/>
      <c r="BJ105" s="43"/>
      <c r="BK105" s="43"/>
      <c r="BL105" s="43"/>
      <c r="BM105" s="43"/>
      <c r="BO105" s="43"/>
      <c r="BR105" s="43"/>
      <c r="BS105" s="43"/>
      <c r="BW105" s="43"/>
      <c r="CC105" s="43"/>
      <c r="CE105" s="43"/>
      <c r="CF105" s="43"/>
      <c r="CH105" s="43"/>
      <c r="CK105" s="43"/>
    </row>
    <row r="106" spans="2:89" x14ac:dyDescent="0.25">
      <c r="B106" s="89"/>
      <c r="C106" s="123"/>
      <c r="D106" s="47"/>
      <c r="E106" s="40"/>
      <c r="F106" s="43"/>
      <c r="G106" s="43"/>
      <c r="H106" s="41"/>
      <c r="I106" s="42"/>
      <c r="J106" s="42"/>
      <c r="K106" s="84"/>
      <c r="L106" s="45"/>
      <c r="M106" s="50"/>
      <c r="N106" s="42"/>
      <c r="O106" s="42"/>
      <c r="P106" s="42"/>
      <c r="Q106" s="42"/>
      <c r="R106" s="42"/>
      <c r="S106" s="42"/>
      <c r="T106" s="42"/>
      <c r="U106" s="67"/>
      <c r="V106" s="220"/>
      <c r="W106" s="48"/>
      <c r="X106" s="49"/>
      <c r="Y106" s="43"/>
      <c r="Z106" s="49"/>
      <c r="AA106" s="43"/>
      <c r="AB106" s="43"/>
      <c r="AC106" s="49"/>
      <c r="AE106" s="43"/>
      <c r="AF106" s="69"/>
      <c r="AI106" s="46"/>
      <c r="AJ106" s="138"/>
      <c r="AK106" s="138"/>
      <c r="AL106" s="138"/>
      <c r="AM106" s="42"/>
      <c r="AO106" s="42"/>
      <c r="AQ106" s="43"/>
      <c r="AR106" s="43"/>
      <c r="AS106" s="44"/>
      <c r="AT106" s="44"/>
      <c r="AU106" s="44"/>
      <c r="AW106" s="42"/>
      <c r="AX106" s="42"/>
      <c r="AY106" s="45"/>
      <c r="AZ106" s="47"/>
      <c r="BG106" s="43"/>
      <c r="BI106" s="43"/>
      <c r="BJ106" s="43"/>
      <c r="BK106" s="43"/>
      <c r="BL106" s="43"/>
      <c r="BM106" s="43"/>
      <c r="BO106" s="43"/>
      <c r="BR106" s="43"/>
      <c r="BS106" s="43"/>
      <c r="BW106" s="43"/>
      <c r="CC106" s="43"/>
      <c r="CE106" s="43"/>
      <c r="CF106" s="43"/>
      <c r="CH106" s="43"/>
      <c r="CK106" s="43"/>
    </row>
    <row r="107" spans="2:89" x14ac:dyDescent="0.25">
      <c r="B107" s="89"/>
      <c r="C107" s="123"/>
      <c r="D107" s="47"/>
      <c r="E107" s="40"/>
      <c r="F107" s="43"/>
      <c r="G107" s="43"/>
      <c r="H107" s="41"/>
      <c r="I107" s="42"/>
      <c r="J107" s="42"/>
      <c r="K107" s="84"/>
      <c r="L107" s="45"/>
      <c r="M107" s="50"/>
      <c r="N107" s="42"/>
      <c r="O107" s="42"/>
      <c r="P107" s="42"/>
      <c r="Q107" s="42"/>
      <c r="R107" s="42"/>
      <c r="S107" s="42"/>
      <c r="T107" s="42"/>
      <c r="U107" s="67"/>
      <c r="V107" s="220"/>
      <c r="W107" s="48"/>
      <c r="X107" s="49"/>
      <c r="Y107" s="43"/>
      <c r="Z107" s="49"/>
      <c r="AA107" s="43"/>
      <c r="AB107" s="43"/>
      <c r="AC107" s="49"/>
      <c r="AE107" s="43"/>
      <c r="AF107" s="69"/>
      <c r="AI107" s="46"/>
      <c r="AJ107" s="138"/>
      <c r="AK107" s="138"/>
      <c r="AL107" s="138"/>
      <c r="AM107" s="42"/>
      <c r="AO107" s="42"/>
      <c r="AQ107" s="43"/>
      <c r="AR107" s="43"/>
      <c r="AS107" s="44"/>
      <c r="AT107" s="44"/>
      <c r="AU107" s="44"/>
      <c r="AW107" s="42"/>
      <c r="AX107" s="42"/>
      <c r="AY107" s="45"/>
      <c r="AZ107" s="47"/>
      <c r="BG107" s="43"/>
      <c r="BI107" s="43"/>
      <c r="BJ107" s="43"/>
      <c r="BK107" s="43"/>
      <c r="BL107" s="43"/>
      <c r="BM107" s="43"/>
      <c r="BO107" s="43"/>
      <c r="BR107" s="43"/>
      <c r="BS107" s="43"/>
      <c r="BW107" s="43"/>
      <c r="CC107" s="43"/>
      <c r="CE107" s="43"/>
      <c r="CF107" s="43"/>
      <c r="CH107" s="43"/>
      <c r="CK107" s="43"/>
    </row>
    <row r="108" spans="2:89" x14ac:dyDescent="0.25">
      <c r="B108" s="89"/>
      <c r="C108" s="123"/>
      <c r="D108" s="47"/>
      <c r="E108" s="40"/>
      <c r="F108" s="43"/>
      <c r="G108" s="43"/>
      <c r="H108" s="41"/>
      <c r="I108" s="42"/>
      <c r="J108" s="42"/>
      <c r="K108" s="84"/>
      <c r="L108" s="45"/>
      <c r="M108" s="50"/>
      <c r="N108" s="42"/>
      <c r="O108" s="42"/>
      <c r="P108" s="42"/>
      <c r="Q108" s="42"/>
      <c r="R108" s="42"/>
      <c r="S108" s="42"/>
      <c r="T108" s="42"/>
      <c r="U108" s="67"/>
      <c r="V108" s="220"/>
      <c r="W108" s="48"/>
      <c r="X108" s="49"/>
      <c r="Y108" s="43"/>
      <c r="Z108" s="49"/>
      <c r="AA108" s="43"/>
      <c r="AB108" s="43"/>
      <c r="AC108" s="49"/>
      <c r="AE108" s="43"/>
      <c r="AF108" s="69"/>
      <c r="AI108" s="46"/>
      <c r="AJ108" s="138"/>
      <c r="AK108" s="138"/>
      <c r="AL108" s="138"/>
      <c r="AM108" s="42"/>
      <c r="AO108" s="42"/>
      <c r="AQ108" s="43"/>
      <c r="AR108" s="43"/>
      <c r="AS108" s="44"/>
      <c r="AT108" s="44"/>
      <c r="AU108" s="44"/>
      <c r="AW108" s="42"/>
      <c r="AX108" s="42"/>
      <c r="AY108" s="45"/>
      <c r="AZ108" s="47"/>
      <c r="BG108" s="43"/>
      <c r="BI108" s="43"/>
      <c r="BJ108" s="43"/>
      <c r="BK108" s="43"/>
      <c r="BL108" s="43"/>
      <c r="BM108" s="43"/>
      <c r="BO108" s="43"/>
      <c r="BR108" s="43"/>
      <c r="BS108" s="43"/>
      <c r="BW108" s="43"/>
      <c r="CC108" s="43"/>
      <c r="CE108" s="43"/>
      <c r="CF108" s="43"/>
      <c r="CH108" s="43"/>
      <c r="CK108" s="43"/>
    </row>
    <row r="109" spans="2:89" x14ac:dyDescent="0.25">
      <c r="B109" s="89"/>
      <c r="C109" s="123"/>
      <c r="D109" s="47"/>
      <c r="E109" s="40"/>
      <c r="F109" s="43"/>
      <c r="G109" s="43"/>
      <c r="H109" s="41"/>
      <c r="I109" s="42"/>
      <c r="J109" s="42"/>
      <c r="K109" s="84"/>
      <c r="L109" s="45"/>
      <c r="M109" s="50"/>
      <c r="N109" s="42"/>
      <c r="O109" s="42"/>
      <c r="P109" s="42"/>
      <c r="Q109" s="42"/>
      <c r="R109" s="42"/>
      <c r="S109" s="42"/>
      <c r="T109" s="42"/>
      <c r="U109" s="67"/>
      <c r="V109" s="220"/>
      <c r="W109" s="48"/>
      <c r="X109" s="49"/>
      <c r="Y109" s="43"/>
      <c r="Z109" s="49"/>
      <c r="AA109" s="43"/>
      <c r="AB109" s="43"/>
      <c r="AC109" s="49"/>
      <c r="AE109" s="43"/>
      <c r="AF109" s="69"/>
      <c r="AI109" s="46"/>
      <c r="AJ109" s="138"/>
      <c r="AK109" s="138"/>
      <c r="AL109" s="138"/>
      <c r="AM109" s="42"/>
      <c r="AO109" s="42"/>
      <c r="AQ109" s="43"/>
      <c r="AR109" s="43"/>
      <c r="AS109" s="44"/>
      <c r="AT109" s="44"/>
      <c r="AU109" s="44"/>
      <c r="AW109" s="42"/>
      <c r="AX109" s="42"/>
      <c r="AY109" s="45"/>
      <c r="AZ109" s="47"/>
      <c r="BG109" s="43"/>
      <c r="BI109" s="43"/>
      <c r="BJ109" s="43"/>
      <c r="BK109" s="43"/>
      <c r="BL109" s="43"/>
      <c r="BM109" s="43"/>
      <c r="BO109" s="43"/>
      <c r="BR109" s="43"/>
      <c r="BS109" s="43"/>
      <c r="BW109" s="43"/>
      <c r="CC109" s="43"/>
      <c r="CE109" s="43"/>
      <c r="CF109" s="43"/>
      <c r="CH109" s="43"/>
      <c r="CK109" s="43"/>
    </row>
    <row r="110" spans="2:89" x14ac:dyDescent="0.25">
      <c r="B110" s="89"/>
      <c r="C110" s="123"/>
      <c r="D110" s="47"/>
      <c r="E110" s="40"/>
      <c r="F110" s="43"/>
      <c r="G110" s="43"/>
      <c r="H110" s="41"/>
      <c r="I110" s="42"/>
      <c r="J110" s="42"/>
      <c r="K110" s="84"/>
      <c r="L110" s="45"/>
      <c r="M110" s="50"/>
      <c r="N110" s="42"/>
      <c r="O110" s="42"/>
      <c r="P110" s="42"/>
      <c r="Q110" s="42"/>
      <c r="R110" s="42"/>
      <c r="S110" s="42"/>
      <c r="T110" s="42"/>
      <c r="U110" s="67"/>
      <c r="V110" s="220"/>
      <c r="W110" s="48"/>
      <c r="X110" s="49"/>
      <c r="Y110" s="43"/>
      <c r="Z110" s="49"/>
      <c r="AA110" s="43"/>
      <c r="AB110" s="43"/>
      <c r="AC110" s="49"/>
      <c r="AE110" s="43"/>
      <c r="AF110" s="69"/>
      <c r="AI110" s="46"/>
      <c r="AJ110" s="138"/>
      <c r="AK110" s="138"/>
      <c r="AL110" s="138"/>
      <c r="AM110" s="42"/>
      <c r="AO110" s="42"/>
      <c r="AQ110" s="43"/>
      <c r="AR110" s="43"/>
      <c r="AS110" s="44"/>
      <c r="AT110" s="44"/>
      <c r="AU110" s="44"/>
      <c r="AW110" s="42"/>
      <c r="AX110" s="42"/>
      <c r="AY110" s="45"/>
      <c r="AZ110" s="47"/>
      <c r="BG110" s="43"/>
      <c r="BI110" s="43"/>
      <c r="BJ110" s="43"/>
      <c r="BK110" s="43"/>
      <c r="BL110" s="43"/>
      <c r="BM110" s="43"/>
      <c r="BO110" s="43"/>
      <c r="BR110" s="43"/>
      <c r="BS110" s="43"/>
      <c r="BW110" s="43"/>
      <c r="CC110" s="43"/>
      <c r="CE110" s="43"/>
      <c r="CF110" s="43"/>
      <c r="CH110" s="43"/>
      <c r="CK110" s="43"/>
    </row>
    <row r="111" spans="2:89" x14ac:dyDescent="0.25">
      <c r="B111" s="89"/>
      <c r="C111" s="123"/>
      <c r="D111" s="47"/>
      <c r="E111" s="40"/>
      <c r="F111" s="43"/>
      <c r="G111" s="43"/>
      <c r="H111" s="41"/>
      <c r="I111" s="42"/>
      <c r="J111" s="42"/>
      <c r="K111" s="84"/>
      <c r="L111" s="45"/>
      <c r="M111" s="50"/>
      <c r="N111" s="42"/>
      <c r="O111" s="42"/>
      <c r="P111" s="42"/>
      <c r="Q111" s="42"/>
      <c r="R111" s="42"/>
      <c r="S111" s="42"/>
      <c r="T111" s="42"/>
      <c r="U111" s="67"/>
      <c r="V111" s="220"/>
      <c r="W111" s="48"/>
      <c r="X111" s="49"/>
      <c r="Y111" s="43"/>
      <c r="Z111" s="49"/>
      <c r="AA111" s="43"/>
      <c r="AB111" s="43"/>
      <c r="AC111" s="49"/>
      <c r="AE111" s="43"/>
      <c r="AF111" s="69"/>
      <c r="AI111" s="46"/>
      <c r="AJ111" s="138"/>
      <c r="AK111" s="138"/>
      <c r="AL111" s="138"/>
      <c r="AM111" s="42"/>
      <c r="AO111" s="42"/>
      <c r="AQ111" s="43"/>
      <c r="AR111" s="43"/>
      <c r="AS111" s="44"/>
      <c r="AT111" s="44"/>
      <c r="AU111" s="44"/>
      <c r="AW111" s="42"/>
      <c r="AX111" s="42"/>
      <c r="AY111" s="45"/>
      <c r="AZ111" s="47"/>
      <c r="BG111" s="43"/>
      <c r="BI111" s="43"/>
      <c r="BJ111" s="43"/>
      <c r="BK111" s="43"/>
      <c r="BL111" s="43"/>
      <c r="BM111" s="43"/>
      <c r="BO111" s="43"/>
      <c r="BR111" s="43"/>
      <c r="BS111" s="43"/>
      <c r="BW111" s="43"/>
      <c r="CC111" s="43"/>
      <c r="CE111" s="43"/>
      <c r="CF111" s="43"/>
      <c r="CH111" s="43"/>
      <c r="CK111" s="43"/>
    </row>
    <row r="112" spans="2:89" x14ac:dyDescent="0.25">
      <c r="B112" s="89"/>
      <c r="C112" s="123"/>
      <c r="D112" s="47"/>
      <c r="E112" s="40"/>
      <c r="F112" s="43"/>
      <c r="G112" s="43"/>
      <c r="H112" s="41"/>
      <c r="I112" s="42"/>
      <c r="J112" s="42"/>
      <c r="K112" s="84"/>
      <c r="L112" s="45"/>
      <c r="M112" s="50"/>
      <c r="N112" s="42"/>
      <c r="O112" s="42"/>
      <c r="P112" s="42"/>
      <c r="Q112" s="42"/>
      <c r="R112" s="42"/>
      <c r="S112" s="42"/>
      <c r="T112" s="42"/>
      <c r="U112" s="67"/>
      <c r="V112" s="220"/>
      <c r="W112" s="48"/>
      <c r="X112" s="49"/>
      <c r="Y112" s="43"/>
      <c r="Z112" s="49"/>
      <c r="AA112" s="43"/>
      <c r="AB112" s="43"/>
      <c r="AC112" s="49"/>
      <c r="AE112" s="43"/>
      <c r="AF112" s="69"/>
      <c r="AI112" s="46"/>
      <c r="AJ112" s="138"/>
      <c r="AK112" s="138"/>
      <c r="AL112" s="138"/>
      <c r="AM112" s="42"/>
      <c r="AO112" s="42"/>
      <c r="AQ112" s="43"/>
      <c r="AR112" s="43"/>
      <c r="AS112" s="44"/>
      <c r="AT112" s="44"/>
      <c r="AU112" s="44"/>
      <c r="AW112" s="42"/>
      <c r="AX112" s="42"/>
      <c r="AY112" s="45"/>
      <c r="AZ112" s="47"/>
      <c r="BG112" s="43"/>
      <c r="BI112" s="43"/>
      <c r="BJ112" s="43"/>
      <c r="BK112" s="43"/>
      <c r="BL112" s="43"/>
      <c r="BM112" s="43"/>
      <c r="BO112" s="43"/>
      <c r="BR112" s="43"/>
      <c r="BS112" s="43"/>
      <c r="BW112" s="43"/>
      <c r="CC112" s="43"/>
      <c r="CE112" s="43"/>
      <c r="CF112" s="43"/>
      <c r="CH112" s="43"/>
      <c r="CK112" s="43"/>
    </row>
    <row r="113" spans="2:89" x14ac:dyDescent="0.25">
      <c r="B113" s="89"/>
      <c r="C113" s="123"/>
      <c r="D113" s="47"/>
      <c r="E113" s="40"/>
      <c r="F113" s="43"/>
      <c r="G113" s="43"/>
      <c r="H113" s="41"/>
      <c r="I113" s="42"/>
      <c r="J113" s="42"/>
      <c r="K113" s="84"/>
      <c r="L113" s="45"/>
      <c r="M113" s="50"/>
      <c r="N113" s="42"/>
      <c r="O113" s="42"/>
      <c r="P113" s="42"/>
      <c r="Q113" s="42"/>
      <c r="R113" s="42"/>
      <c r="S113" s="42"/>
      <c r="T113" s="42"/>
      <c r="U113" s="67"/>
      <c r="V113" s="220"/>
      <c r="W113" s="48"/>
      <c r="X113" s="49"/>
      <c r="Y113" s="43"/>
      <c r="Z113" s="49"/>
      <c r="AA113" s="43"/>
      <c r="AB113" s="43"/>
      <c r="AC113" s="49"/>
      <c r="AE113" s="43"/>
      <c r="AF113" s="69"/>
      <c r="AI113" s="46"/>
      <c r="AJ113" s="138"/>
      <c r="AK113" s="138"/>
      <c r="AL113" s="138"/>
      <c r="AM113" s="42"/>
      <c r="AO113" s="42"/>
      <c r="AQ113" s="43"/>
      <c r="AR113" s="43"/>
      <c r="AS113" s="44"/>
      <c r="AT113" s="44"/>
      <c r="AU113" s="44"/>
      <c r="AW113" s="42"/>
      <c r="AX113" s="42"/>
      <c r="AY113" s="45"/>
      <c r="AZ113" s="47"/>
      <c r="BG113" s="43"/>
      <c r="BI113" s="43"/>
      <c r="BJ113" s="43"/>
      <c r="BK113" s="43"/>
      <c r="BL113" s="43"/>
      <c r="BM113" s="43"/>
      <c r="BO113" s="43"/>
      <c r="BR113" s="43"/>
      <c r="BS113" s="43"/>
      <c r="BW113" s="43"/>
      <c r="CC113" s="43"/>
      <c r="CE113" s="43"/>
      <c r="CF113" s="43"/>
      <c r="CH113" s="43"/>
      <c r="CK113" s="43"/>
    </row>
    <row r="114" spans="2:89" x14ac:dyDescent="0.25">
      <c r="B114" s="89"/>
      <c r="C114" s="123"/>
      <c r="D114" s="47"/>
      <c r="E114" s="40"/>
      <c r="F114" s="43"/>
      <c r="G114" s="43"/>
      <c r="H114" s="41"/>
      <c r="I114" s="42"/>
      <c r="J114" s="42"/>
      <c r="K114" s="84"/>
      <c r="L114" s="45"/>
      <c r="M114" s="50"/>
      <c r="N114" s="42"/>
      <c r="O114" s="42"/>
      <c r="P114" s="42"/>
      <c r="Q114" s="42"/>
      <c r="R114" s="42"/>
      <c r="S114" s="42"/>
      <c r="T114" s="42"/>
      <c r="U114" s="67"/>
      <c r="V114" s="220"/>
      <c r="W114" s="48"/>
      <c r="X114" s="49"/>
      <c r="Y114" s="43"/>
      <c r="Z114" s="49"/>
      <c r="AA114" s="43"/>
      <c r="AB114" s="43"/>
      <c r="AC114" s="49"/>
      <c r="AE114" s="43"/>
      <c r="AF114" s="69"/>
      <c r="AI114" s="46"/>
      <c r="AJ114" s="138"/>
      <c r="AK114" s="138"/>
      <c r="AL114" s="138"/>
      <c r="AM114" s="42"/>
      <c r="AO114" s="42"/>
      <c r="AQ114" s="43"/>
      <c r="AR114" s="43"/>
      <c r="AS114" s="44"/>
      <c r="AT114" s="44"/>
      <c r="AU114" s="44"/>
      <c r="AW114" s="42"/>
      <c r="AX114" s="42"/>
      <c r="AY114" s="45"/>
      <c r="AZ114" s="47"/>
      <c r="BG114" s="43"/>
      <c r="BI114" s="43"/>
      <c r="BJ114" s="43"/>
      <c r="BK114" s="43"/>
      <c r="BL114" s="43"/>
      <c r="BM114" s="43"/>
      <c r="BO114" s="43"/>
      <c r="BR114" s="43"/>
      <c r="BS114" s="43"/>
      <c r="BW114" s="43"/>
      <c r="CC114" s="43"/>
      <c r="CE114" s="43"/>
      <c r="CF114" s="43"/>
      <c r="CH114" s="43"/>
      <c r="CK114" s="43"/>
    </row>
    <row r="115" spans="2:89" x14ac:dyDescent="0.25">
      <c r="B115" s="89"/>
      <c r="C115" s="123"/>
      <c r="D115" s="47"/>
      <c r="E115" s="40"/>
      <c r="F115" s="43"/>
      <c r="G115" s="43"/>
      <c r="H115" s="41"/>
      <c r="I115" s="42"/>
      <c r="J115" s="42"/>
      <c r="K115" s="84"/>
      <c r="L115" s="45"/>
      <c r="M115" s="50"/>
      <c r="N115" s="42"/>
      <c r="O115" s="42"/>
      <c r="P115" s="42"/>
      <c r="Q115" s="42"/>
      <c r="R115" s="42"/>
      <c r="S115" s="42"/>
      <c r="T115" s="42"/>
      <c r="U115" s="67"/>
      <c r="V115" s="220"/>
      <c r="W115" s="48"/>
      <c r="X115" s="49"/>
      <c r="Y115" s="43"/>
      <c r="Z115" s="49"/>
      <c r="AA115" s="43"/>
      <c r="AB115" s="43"/>
      <c r="AC115" s="49"/>
      <c r="AE115" s="43"/>
      <c r="AF115" s="69"/>
      <c r="AI115" s="46"/>
      <c r="AJ115" s="138"/>
      <c r="AK115" s="138"/>
      <c r="AL115" s="138"/>
      <c r="AM115" s="42"/>
      <c r="AO115" s="42"/>
      <c r="AQ115" s="43"/>
      <c r="AR115" s="43"/>
      <c r="AS115" s="44"/>
      <c r="AT115" s="44"/>
      <c r="AU115" s="44"/>
      <c r="AW115" s="42"/>
      <c r="AX115" s="42"/>
      <c r="AY115" s="45"/>
      <c r="AZ115" s="47"/>
      <c r="BG115" s="43"/>
      <c r="BI115" s="43"/>
      <c r="BJ115" s="43"/>
      <c r="BK115" s="43"/>
      <c r="BL115" s="43"/>
      <c r="BM115" s="43"/>
      <c r="BO115" s="43"/>
      <c r="BR115" s="43"/>
      <c r="BS115" s="43"/>
      <c r="BW115" s="43"/>
      <c r="CC115" s="43"/>
      <c r="CE115" s="43"/>
      <c r="CF115" s="43"/>
      <c r="CH115" s="43"/>
      <c r="CK115" s="43"/>
    </row>
    <row r="116" spans="2:89" x14ac:dyDescent="0.25">
      <c r="B116" s="89"/>
      <c r="C116" s="123"/>
      <c r="D116" s="47"/>
      <c r="E116" s="40"/>
      <c r="F116" s="43"/>
      <c r="G116" s="43"/>
      <c r="H116" s="41"/>
      <c r="I116" s="42"/>
      <c r="J116" s="42"/>
      <c r="K116" s="84"/>
      <c r="L116" s="45"/>
      <c r="M116" s="50"/>
      <c r="N116" s="42"/>
      <c r="O116" s="42"/>
      <c r="P116" s="42"/>
      <c r="Q116" s="42"/>
      <c r="R116" s="42"/>
      <c r="S116" s="42"/>
      <c r="T116" s="42"/>
      <c r="U116" s="67"/>
      <c r="V116" s="220"/>
      <c r="W116" s="48"/>
      <c r="X116" s="49"/>
      <c r="Y116" s="43"/>
      <c r="Z116" s="49"/>
      <c r="AA116" s="43"/>
      <c r="AB116" s="43"/>
      <c r="AC116" s="49"/>
      <c r="AE116" s="43"/>
      <c r="AF116" s="69"/>
      <c r="AI116" s="46"/>
      <c r="AJ116" s="138"/>
      <c r="AK116" s="138"/>
      <c r="AL116" s="138"/>
      <c r="AM116" s="42"/>
      <c r="AO116" s="42"/>
      <c r="AQ116" s="43"/>
      <c r="AR116" s="43"/>
      <c r="AS116" s="44"/>
      <c r="AT116" s="44"/>
      <c r="AU116" s="44"/>
      <c r="AW116" s="42"/>
      <c r="AX116" s="42"/>
      <c r="AY116" s="45"/>
      <c r="AZ116" s="47"/>
      <c r="BG116" s="43"/>
      <c r="BI116" s="43"/>
      <c r="BJ116" s="43"/>
      <c r="BK116" s="43"/>
      <c r="BL116" s="43"/>
      <c r="BM116" s="43"/>
      <c r="BO116" s="43"/>
      <c r="BR116" s="43"/>
      <c r="BS116" s="43"/>
      <c r="BW116" s="43"/>
      <c r="CC116" s="43"/>
      <c r="CE116" s="43"/>
      <c r="CF116" s="43"/>
      <c r="CH116" s="43"/>
      <c r="CK116" s="43"/>
    </row>
    <row r="117" spans="2:89" x14ac:dyDescent="0.25">
      <c r="B117" s="89"/>
      <c r="C117" s="123"/>
      <c r="D117" s="47"/>
      <c r="E117" s="40"/>
      <c r="F117" s="43"/>
      <c r="G117" s="43"/>
      <c r="H117" s="41"/>
      <c r="I117" s="42"/>
      <c r="J117" s="42"/>
      <c r="K117" s="84"/>
      <c r="L117" s="45"/>
      <c r="M117" s="50"/>
      <c r="N117" s="42"/>
      <c r="O117" s="42"/>
      <c r="P117" s="42"/>
      <c r="Q117" s="42"/>
      <c r="R117" s="42"/>
      <c r="S117" s="42"/>
      <c r="T117" s="42"/>
      <c r="U117" s="67"/>
      <c r="V117" s="220"/>
      <c r="W117" s="48"/>
      <c r="X117" s="49"/>
      <c r="Y117" s="43"/>
      <c r="Z117" s="49"/>
      <c r="AA117" s="43"/>
      <c r="AB117" s="43"/>
      <c r="AC117" s="49"/>
      <c r="AE117" s="43"/>
      <c r="AF117" s="69"/>
      <c r="AI117" s="46"/>
      <c r="AJ117" s="138"/>
      <c r="AK117" s="138"/>
      <c r="AL117" s="138"/>
      <c r="AM117" s="42"/>
      <c r="AO117" s="42"/>
      <c r="AQ117" s="43"/>
      <c r="AR117" s="43"/>
      <c r="AS117" s="44"/>
      <c r="AT117" s="44"/>
      <c r="AU117" s="44"/>
      <c r="AW117" s="42"/>
      <c r="AX117" s="42"/>
      <c r="AY117" s="45"/>
      <c r="AZ117" s="47"/>
      <c r="BG117" s="43"/>
      <c r="BI117" s="43"/>
      <c r="BJ117" s="43"/>
      <c r="BK117" s="43"/>
      <c r="BL117" s="43"/>
      <c r="BM117" s="43"/>
      <c r="BO117" s="43"/>
      <c r="BR117" s="43"/>
      <c r="BS117" s="43"/>
      <c r="BW117" s="43"/>
      <c r="CC117" s="43"/>
      <c r="CE117" s="43"/>
      <c r="CF117" s="43"/>
      <c r="CH117" s="43"/>
      <c r="CK117" s="43"/>
    </row>
    <row r="118" spans="2:89" x14ac:dyDescent="0.25">
      <c r="B118" s="89"/>
      <c r="C118" s="123"/>
      <c r="D118" s="47"/>
      <c r="E118" s="40"/>
      <c r="F118" s="43"/>
      <c r="G118" s="43"/>
      <c r="H118" s="41"/>
      <c r="I118" s="42"/>
      <c r="J118" s="42"/>
      <c r="K118" s="84"/>
      <c r="L118" s="45"/>
      <c r="M118" s="50"/>
      <c r="N118" s="42"/>
      <c r="O118" s="42"/>
      <c r="P118" s="42"/>
      <c r="Q118" s="42"/>
      <c r="R118" s="42"/>
      <c r="S118" s="42"/>
      <c r="T118" s="42"/>
      <c r="U118" s="67"/>
      <c r="V118" s="220"/>
      <c r="W118" s="48"/>
      <c r="X118" s="49"/>
      <c r="Y118" s="43"/>
      <c r="Z118" s="49"/>
      <c r="AA118" s="43"/>
      <c r="AB118" s="43"/>
      <c r="AC118" s="49"/>
      <c r="AE118" s="43"/>
      <c r="AF118" s="69"/>
      <c r="AI118" s="46"/>
      <c r="AJ118" s="138"/>
      <c r="AK118" s="138"/>
      <c r="AL118" s="138"/>
      <c r="AM118" s="42"/>
      <c r="AO118" s="42"/>
      <c r="AQ118" s="43"/>
      <c r="AR118" s="43"/>
      <c r="AS118" s="44"/>
      <c r="AT118" s="44"/>
      <c r="AU118" s="44"/>
      <c r="AW118" s="42"/>
      <c r="AX118" s="42"/>
      <c r="AY118" s="45"/>
      <c r="AZ118" s="47"/>
      <c r="BG118" s="43"/>
      <c r="BI118" s="43"/>
      <c r="BJ118" s="43"/>
      <c r="BK118" s="43"/>
      <c r="BL118" s="43"/>
      <c r="BM118" s="43"/>
      <c r="BO118" s="43"/>
      <c r="BR118" s="43"/>
      <c r="BS118" s="43"/>
      <c r="BW118" s="43"/>
      <c r="CC118" s="43"/>
      <c r="CE118" s="43"/>
      <c r="CF118" s="43"/>
      <c r="CH118" s="43"/>
      <c r="CK118" s="43"/>
    </row>
    <row r="119" spans="2:89" x14ac:dyDescent="0.25">
      <c r="B119" s="89"/>
      <c r="C119" s="123"/>
      <c r="D119" s="47"/>
      <c r="E119" s="40"/>
      <c r="F119" s="43"/>
      <c r="G119" s="43"/>
      <c r="H119" s="41"/>
      <c r="I119" s="42"/>
      <c r="J119" s="42"/>
      <c r="K119" s="84"/>
      <c r="L119" s="45"/>
      <c r="M119" s="50"/>
      <c r="N119" s="42"/>
      <c r="O119" s="42"/>
      <c r="P119" s="42"/>
      <c r="Q119" s="42"/>
      <c r="R119" s="42"/>
      <c r="S119" s="42"/>
      <c r="T119" s="42"/>
      <c r="U119" s="67"/>
      <c r="V119" s="220"/>
      <c r="W119" s="48"/>
      <c r="X119" s="49"/>
      <c r="Y119" s="43"/>
      <c r="Z119" s="49"/>
      <c r="AA119" s="43"/>
      <c r="AB119" s="43"/>
      <c r="AC119" s="49"/>
      <c r="AE119" s="43"/>
      <c r="AF119" s="69"/>
      <c r="AI119" s="46"/>
      <c r="AJ119" s="138"/>
      <c r="AK119" s="138"/>
      <c r="AL119" s="138"/>
      <c r="AM119" s="42"/>
      <c r="AO119" s="42"/>
      <c r="AQ119" s="43"/>
      <c r="AR119" s="43"/>
      <c r="AS119" s="44"/>
      <c r="AT119" s="44"/>
      <c r="AU119" s="44"/>
      <c r="AW119" s="42"/>
      <c r="AX119" s="42"/>
      <c r="AY119" s="45"/>
      <c r="AZ119" s="47"/>
      <c r="BG119" s="43"/>
      <c r="BI119" s="43"/>
      <c r="BJ119" s="43"/>
      <c r="BK119" s="43"/>
      <c r="BL119" s="43"/>
      <c r="BM119" s="43"/>
      <c r="BO119" s="43"/>
      <c r="BR119" s="43"/>
      <c r="BS119" s="43"/>
      <c r="BW119" s="43"/>
      <c r="CC119" s="43"/>
      <c r="CE119" s="43"/>
      <c r="CF119" s="43"/>
      <c r="CH119" s="43"/>
      <c r="CK119" s="43"/>
    </row>
    <row r="120" spans="2:89" x14ac:dyDescent="0.25">
      <c r="B120" s="89"/>
      <c r="C120" s="126"/>
      <c r="D120" s="47"/>
      <c r="E120" s="40"/>
      <c r="F120" s="106"/>
      <c r="G120" s="106"/>
      <c r="H120" s="41"/>
      <c r="I120" s="105"/>
      <c r="J120" s="105"/>
      <c r="K120" s="84"/>
      <c r="L120" s="45"/>
      <c r="M120" s="43"/>
      <c r="N120" s="42"/>
      <c r="O120" s="42"/>
      <c r="P120" s="223"/>
      <c r="Q120" s="42"/>
      <c r="R120" s="42"/>
      <c r="S120" s="42"/>
      <c r="T120" s="42"/>
      <c r="U120" s="67"/>
      <c r="V120" s="220"/>
      <c r="W120" s="48"/>
      <c r="X120" s="49"/>
      <c r="Y120" s="43"/>
      <c r="Z120" s="49"/>
      <c r="AA120" s="43"/>
      <c r="AB120" s="43"/>
      <c r="AC120" s="49"/>
      <c r="AE120" s="43"/>
      <c r="AF120" s="69"/>
      <c r="AI120" s="46"/>
      <c r="AJ120" s="138"/>
      <c r="AK120" s="138"/>
      <c r="AL120" s="138"/>
      <c r="AM120" s="42"/>
      <c r="AO120" s="42"/>
      <c r="AQ120" s="43"/>
      <c r="AR120" s="43"/>
      <c r="AS120" s="44"/>
      <c r="AT120" s="44"/>
      <c r="AU120" s="44"/>
      <c r="AW120" s="42"/>
      <c r="AX120" s="42"/>
      <c r="AY120" s="45"/>
      <c r="AZ120" s="47"/>
      <c r="BG120" s="43"/>
      <c r="BI120" s="43"/>
      <c r="BJ120" s="43"/>
      <c r="BK120" s="43"/>
      <c r="BL120" s="43"/>
      <c r="BM120" s="43"/>
      <c r="BO120" s="43"/>
      <c r="BR120" s="43"/>
      <c r="BS120" s="43"/>
      <c r="BW120" s="43"/>
      <c r="CC120" s="43"/>
      <c r="CE120" s="43"/>
      <c r="CF120" s="43"/>
      <c r="CH120" s="43"/>
      <c r="CK120" s="43"/>
    </row>
    <row r="121" spans="2:89" x14ac:dyDescent="0.25">
      <c r="B121" s="157"/>
      <c r="C121" s="126"/>
      <c r="D121" s="47"/>
      <c r="E121" s="40"/>
      <c r="F121" s="111"/>
      <c r="G121" s="111"/>
      <c r="H121" s="41"/>
      <c r="I121" s="113"/>
      <c r="J121" s="113"/>
      <c r="K121" s="84"/>
      <c r="L121" s="45"/>
      <c r="M121" s="106"/>
      <c r="N121" s="42"/>
      <c r="O121" s="42"/>
      <c r="P121" s="223"/>
      <c r="Q121" s="42"/>
      <c r="R121" s="42"/>
      <c r="S121" s="42"/>
      <c r="T121" s="42"/>
      <c r="U121" s="171"/>
      <c r="V121" s="234"/>
      <c r="W121" s="48"/>
      <c r="X121" s="49"/>
      <c r="Y121" s="43"/>
      <c r="Z121" s="49"/>
      <c r="AA121" s="43"/>
      <c r="AB121" s="43"/>
      <c r="AC121" s="49"/>
      <c r="AE121" s="43"/>
      <c r="AF121" s="69"/>
      <c r="AG121" s="69"/>
      <c r="AH121" s="69"/>
      <c r="AI121" s="46"/>
      <c r="AJ121" s="138"/>
      <c r="AK121" s="138"/>
      <c r="AL121" s="170"/>
      <c r="AM121" s="74"/>
      <c r="AN121" s="74"/>
      <c r="AO121" s="74"/>
      <c r="AP121" s="74"/>
      <c r="AQ121" s="81"/>
      <c r="AR121" s="81"/>
      <c r="AS121" s="82"/>
      <c r="AT121" s="82"/>
      <c r="AU121" s="44"/>
      <c r="AV121" s="81"/>
      <c r="AW121" s="74"/>
      <c r="AX121" s="74"/>
      <c r="AY121" s="74"/>
      <c r="AZ121" s="83"/>
      <c r="BG121" s="43"/>
      <c r="BI121" s="43"/>
      <c r="BJ121" s="43"/>
      <c r="BK121" s="43"/>
      <c r="BL121" s="43"/>
      <c r="BM121" s="43"/>
      <c r="BO121" s="43"/>
      <c r="BR121" s="43"/>
      <c r="BS121" s="43"/>
      <c r="BW121" s="43"/>
      <c r="CC121" s="43"/>
      <c r="CE121" s="43"/>
      <c r="CF121" s="43"/>
      <c r="CH121" s="43"/>
      <c r="CK121" s="43"/>
    </row>
    <row r="122" spans="2:89" x14ac:dyDescent="0.25">
      <c r="B122" s="89"/>
      <c r="C122" s="123"/>
      <c r="D122" s="47"/>
      <c r="E122" s="40"/>
      <c r="F122" s="43"/>
      <c r="G122" s="43"/>
      <c r="H122" s="41"/>
      <c r="I122" s="42"/>
      <c r="J122" s="42"/>
      <c r="K122" s="84"/>
      <c r="L122" s="45"/>
      <c r="M122" s="50"/>
      <c r="N122" s="42"/>
      <c r="O122" s="42"/>
      <c r="P122" s="223"/>
      <c r="Q122" s="42"/>
      <c r="R122" s="42"/>
      <c r="S122" s="42"/>
      <c r="T122" s="42"/>
      <c r="U122" s="67"/>
      <c r="V122" s="220"/>
      <c r="W122" s="48"/>
      <c r="X122" s="49"/>
      <c r="Y122" s="43"/>
      <c r="Z122" s="49"/>
      <c r="AA122" s="43"/>
      <c r="AB122" s="43"/>
      <c r="AC122" s="49"/>
      <c r="AE122" s="43"/>
      <c r="AF122" s="69"/>
      <c r="AI122" s="46"/>
      <c r="AJ122" s="138"/>
      <c r="AK122" s="138"/>
      <c r="AL122" s="138"/>
      <c r="AM122" s="42"/>
      <c r="AO122" s="42"/>
      <c r="AQ122" s="43"/>
      <c r="AR122" s="43"/>
      <c r="AS122" s="44"/>
      <c r="AT122" s="44"/>
      <c r="AU122" s="44"/>
      <c r="AW122" s="42"/>
      <c r="AX122" s="42"/>
      <c r="AY122" s="45"/>
      <c r="AZ122" s="47"/>
      <c r="BG122" s="43"/>
      <c r="BI122" s="43"/>
      <c r="BJ122" s="43"/>
      <c r="BK122" s="43"/>
      <c r="BL122" s="43"/>
      <c r="BM122" s="43"/>
      <c r="BO122" s="43"/>
      <c r="BR122" s="43"/>
      <c r="BS122" s="43"/>
      <c r="BW122" s="43"/>
      <c r="CC122" s="43"/>
      <c r="CE122" s="43"/>
      <c r="CF122" s="43"/>
      <c r="CH122" s="43"/>
      <c r="CK122" s="43"/>
    </row>
    <row r="123" spans="2:89" x14ac:dyDescent="0.25">
      <c r="B123" s="89"/>
      <c r="C123" s="123"/>
      <c r="D123" s="47"/>
      <c r="E123" s="40"/>
      <c r="F123" s="43"/>
      <c r="G123" s="43"/>
      <c r="H123" s="41"/>
      <c r="I123" s="42"/>
      <c r="J123" s="42"/>
      <c r="K123" s="84"/>
      <c r="L123" s="45"/>
      <c r="M123" s="50"/>
      <c r="N123" s="42"/>
      <c r="O123" s="42"/>
      <c r="P123" s="223"/>
      <c r="Q123" s="42"/>
      <c r="R123" s="42"/>
      <c r="S123" s="42"/>
      <c r="T123" s="42"/>
      <c r="U123" s="67"/>
      <c r="V123" s="220"/>
      <c r="W123" s="48"/>
      <c r="X123" s="49"/>
      <c r="Y123" s="43"/>
      <c r="Z123" s="49"/>
      <c r="AA123" s="43"/>
      <c r="AB123" s="43"/>
      <c r="AC123" s="49"/>
      <c r="AE123" s="43"/>
      <c r="AF123" s="69"/>
      <c r="AI123" s="46"/>
      <c r="AJ123" s="138"/>
      <c r="AK123" s="138"/>
      <c r="AL123" s="138"/>
      <c r="AM123" s="42"/>
      <c r="AO123" s="42"/>
      <c r="AQ123" s="43"/>
      <c r="AR123" s="43"/>
      <c r="AS123" s="44"/>
      <c r="AT123" s="44"/>
      <c r="AU123" s="44"/>
      <c r="AW123" s="42"/>
      <c r="AX123" s="42"/>
      <c r="AY123" s="45"/>
      <c r="AZ123" s="47"/>
      <c r="BG123" s="43"/>
      <c r="BI123" s="43"/>
      <c r="BJ123" s="43"/>
      <c r="BK123" s="43"/>
      <c r="BL123" s="43"/>
      <c r="BM123" s="43"/>
      <c r="BO123" s="43"/>
      <c r="BR123" s="43"/>
      <c r="BS123" s="43"/>
      <c r="BW123" s="43"/>
      <c r="CC123" s="43"/>
      <c r="CE123" s="43"/>
      <c r="CF123" s="43"/>
      <c r="CH123" s="43"/>
      <c r="CK123" s="43"/>
    </row>
    <row r="124" spans="2:89" x14ac:dyDescent="0.25">
      <c r="B124" s="89"/>
      <c r="C124" s="123"/>
      <c r="D124" s="47"/>
      <c r="E124" s="40"/>
      <c r="F124" s="43"/>
      <c r="G124" s="43"/>
      <c r="H124" s="41"/>
      <c r="I124" s="42"/>
      <c r="J124" s="42"/>
      <c r="K124" s="84"/>
      <c r="L124" s="45"/>
      <c r="M124" s="50"/>
      <c r="N124" s="42"/>
      <c r="O124" s="42"/>
      <c r="P124" s="42"/>
      <c r="Q124" s="42"/>
      <c r="R124" s="42"/>
      <c r="S124" s="42"/>
      <c r="T124" s="42"/>
      <c r="U124" s="67"/>
      <c r="V124" s="220"/>
      <c r="W124" s="48"/>
      <c r="X124" s="49"/>
      <c r="Y124" s="43"/>
      <c r="Z124" s="49"/>
      <c r="AA124" s="43"/>
      <c r="AB124" s="43"/>
      <c r="AC124" s="49"/>
      <c r="AE124" s="43"/>
      <c r="AF124" s="69"/>
      <c r="AI124" s="46"/>
      <c r="AJ124" s="138"/>
      <c r="AK124" s="138"/>
      <c r="AL124" s="138"/>
      <c r="AM124" s="42"/>
      <c r="AO124" s="42"/>
      <c r="AQ124" s="43"/>
      <c r="AR124" s="43"/>
      <c r="AS124" s="44"/>
      <c r="AT124" s="44"/>
      <c r="AU124" s="44"/>
      <c r="AW124" s="42"/>
      <c r="AX124" s="42"/>
      <c r="AY124" s="45"/>
      <c r="AZ124" s="47"/>
      <c r="BG124" s="43"/>
      <c r="BI124" s="43"/>
      <c r="BJ124" s="43"/>
      <c r="BK124" s="43"/>
      <c r="BL124" s="43"/>
      <c r="BM124" s="43"/>
      <c r="BO124" s="43"/>
      <c r="BR124" s="43"/>
      <c r="BS124" s="43"/>
      <c r="BW124" s="43"/>
      <c r="CC124" s="43"/>
      <c r="CE124" s="43"/>
      <c r="CF124" s="43"/>
      <c r="CH124" s="43"/>
      <c r="CK124" s="43"/>
    </row>
    <row r="125" spans="2:89" x14ac:dyDescent="0.25">
      <c r="B125" s="89"/>
      <c r="C125" s="123"/>
      <c r="D125" s="47"/>
      <c r="E125" s="40"/>
      <c r="F125" s="43"/>
      <c r="G125" s="43"/>
      <c r="H125" s="41"/>
      <c r="I125" s="42"/>
      <c r="J125" s="42"/>
      <c r="K125" s="84"/>
      <c r="L125" s="45"/>
      <c r="M125" s="50"/>
      <c r="N125" s="42"/>
      <c r="O125" s="42"/>
      <c r="P125" s="42"/>
      <c r="Q125" s="42"/>
      <c r="R125" s="42"/>
      <c r="S125" s="42"/>
      <c r="T125" s="42"/>
      <c r="U125" s="67"/>
      <c r="V125" s="234"/>
      <c r="W125" s="48"/>
      <c r="X125" s="49"/>
      <c r="Y125" s="43"/>
      <c r="Z125" s="49"/>
      <c r="AA125" s="43"/>
      <c r="AB125" s="43"/>
      <c r="AC125" s="49"/>
      <c r="AE125" s="43"/>
      <c r="AF125" s="69"/>
      <c r="AI125" s="46"/>
      <c r="AJ125" s="138"/>
      <c r="AK125" s="138"/>
      <c r="AL125" s="138"/>
      <c r="AM125" s="42"/>
      <c r="AO125" s="42"/>
      <c r="AQ125" s="43"/>
      <c r="AR125" s="43"/>
      <c r="AS125" s="44"/>
      <c r="AT125" s="44"/>
      <c r="AU125" s="44"/>
      <c r="AW125" s="42"/>
      <c r="AX125" s="42"/>
      <c r="AY125" s="45"/>
      <c r="AZ125" s="47"/>
      <c r="BG125" s="43"/>
      <c r="BI125" s="43"/>
      <c r="BJ125" s="43"/>
      <c r="BK125" s="43"/>
      <c r="BL125" s="43"/>
      <c r="BM125" s="43"/>
      <c r="BO125" s="43"/>
      <c r="BR125" s="43"/>
      <c r="BS125" s="43"/>
      <c r="BW125" s="43"/>
      <c r="CC125" s="43"/>
      <c r="CE125" s="43"/>
      <c r="CF125" s="43"/>
      <c r="CH125" s="43"/>
      <c r="CK125" s="43"/>
    </row>
    <row r="126" spans="2:89" x14ac:dyDescent="0.25">
      <c r="B126" s="89"/>
      <c r="C126" s="123"/>
      <c r="D126" s="47"/>
      <c r="E126" s="40"/>
      <c r="F126" s="43"/>
      <c r="G126" s="43"/>
      <c r="H126" s="41"/>
      <c r="I126" s="42"/>
      <c r="J126" s="42"/>
      <c r="K126" s="84"/>
      <c r="L126" s="45"/>
      <c r="M126" s="50"/>
      <c r="N126" s="42"/>
      <c r="O126" s="42"/>
      <c r="P126" s="42"/>
      <c r="Q126" s="42"/>
      <c r="R126" s="42"/>
      <c r="S126" s="42"/>
      <c r="T126" s="42"/>
      <c r="U126" s="67"/>
      <c r="V126" s="234"/>
      <c r="W126" s="48"/>
      <c r="X126" s="49"/>
      <c r="Y126" s="43"/>
      <c r="Z126" s="49"/>
      <c r="AA126" s="43"/>
      <c r="AB126" s="43"/>
      <c r="AC126" s="49"/>
      <c r="AE126" s="43"/>
      <c r="AF126" s="69"/>
      <c r="AI126" s="46"/>
      <c r="AJ126" s="138"/>
      <c r="AK126" s="138"/>
      <c r="AL126" s="138"/>
      <c r="AM126" s="42"/>
      <c r="AO126" s="42"/>
      <c r="AQ126" s="43"/>
      <c r="AR126" s="43"/>
      <c r="AS126" s="44"/>
      <c r="AT126" s="44"/>
      <c r="AU126" s="44"/>
      <c r="AW126" s="42"/>
      <c r="AX126" s="42"/>
      <c r="AY126" s="45"/>
      <c r="AZ126" s="47"/>
      <c r="BG126" s="43"/>
      <c r="BI126" s="43"/>
      <c r="BJ126" s="43"/>
      <c r="BK126" s="43"/>
      <c r="BL126" s="43"/>
      <c r="BM126" s="43"/>
      <c r="BO126" s="43"/>
      <c r="BR126" s="43"/>
      <c r="BS126" s="43"/>
      <c r="BW126" s="43"/>
      <c r="CC126" s="43"/>
      <c r="CE126" s="43"/>
      <c r="CF126" s="43"/>
      <c r="CH126" s="43"/>
      <c r="CK126" s="43"/>
    </row>
    <row r="127" spans="2:89" x14ac:dyDescent="0.25">
      <c r="B127" s="89"/>
      <c r="C127" s="123"/>
      <c r="D127" s="47"/>
      <c r="E127" s="40"/>
      <c r="F127" s="43"/>
      <c r="G127" s="43"/>
      <c r="H127" s="41"/>
      <c r="I127" s="42"/>
      <c r="J127" s="42"/>
      <c r="K127" s="84"/>
      <c r="L127" s="45"/>
      <c r="M127" s="50"/>
      <c r="N127" s="42"/>
      <c r="O127" s="42"/>
      <c r="P127" s="42"/>
      <c r="Q127" s="42"/>
      <c r="R127" s="42"/>
      <c r="S127" s="42"/>
      <c r="T127" s="42"/>
      <c r="U127" s="67"/>
      <c r="V127" s="220"/>
      <c r="W127" s="48"/>
      <c r="X127" s="49"/>
      <c r="Y127" s="43"/>
      <c r="Z127" s="49"/>
      <c r="AA127" s="43"/>
      <c r="AB127" s="43"/>
      <c r="AC127" s="49"/>
      <c r="AE127" s="43"/>
      <c r="AF127" s="69"/>
      <c r="AI127" s="46"/>
      <c r="AJ127" s="138"/>
      <c r="AK127" s="138"/>
      <c r="AL127" s="138"/>
      <c r="AM127" s="42"/>
      <c r="AO127" s="42"/>
      <c r="AQ127" s="43"/>
      <c r="AR127" s="43"/>
      <c r="AS127" s="44"/>
      <c r="AT127" s="44"/>
      <c r="AU127" s="44"/>
      <c r="AW127" s="42"/>
      <c r="AX127" s="42"/>
      <c r="AY127" s="45"/>
      <c r="AZ127" s="47"/>
      <c r="BG127" s="43"/>
      <c r="BI127" s="43"/>
      <c r="BJ127" s="43"/>
      <c r="BK127" s="43"/>
      <c r="BL127" s="43"/>
      <c r="BM127" s="43"/>
      <c r="BO127" s="43"/>
      <c r="BR127" s="43"/>
      <c r="BS127" s="43"/>
      <c r="BW127" s="43"/>
      <c r="CC127" s="43"/>
      <c r="CE127" s="43"/>
      <c r="CF127" s="43"/>
      <c r="CH127" s="43"/>
      <c r="CK127" s="43"/>
    </row>
    <row r="128" spans="2:89" x14ac:dyDescent="0.25">
      <c r="B128" s="89"/>
      <c r="C128" s="123"/>
      <c r="D128" s="47"/>
      <c r="E128" s="40"/>
      <c r="F128" s="43"/>
      <c r="G128" s="43"/>
      <c r="H128" s="41"/>
      <c r="I128" s="42"/>
      <c r="J128" s="42"/>
      <c r="K128" s="84"/>
      <c r="L128" s="45"/>
      <c r="M128" s="50"/>
      <c r="N128" s="42"/>
      <c r="O128" s="42"/>
      <c r="P128" s="42"/>
      <c r="Q128" s="42"/>
      <c r="R128" s="42"/>
      <c r="S128" s="42"/>
      <c r="T128" s="42"/>
      <c r="U128" s="67"/>
      <c r="V128" s="220"/>
      <c r="W128" s="48"/>
      <c r="X128" s="49"/>
      <c r="Y128" s="43"/>
      <c r="Z128" s="49"/>
      <c r="AA128" s="43"/>
      <c r="AB128" s="43"/>
      <c r="AC128" s="49"/>
      <c r="AE128" s="43"/>
      <c r="AF128" s="69"/>
      <c r="AI128" s="46"/>
      <c r="AJ128" s="138"/>
      <c r="AK128" s="138"/>
      <c r="AL128" s="138"/>
      <c r="AM128" s="42"/>
      <c r="AO128" s="42"/>
      <c r="AQ128" s="43"/>
      <c r="AR128" s="43"/>
      <c r="AS128" s="44"/>
      <c r="AT128" s="44"/>
      <c r="AU128" s="44"/>
      <c r="AW128" s="42"/>
      <c r="AX128" s="42"/>
      <c r="AY128" s="45"/>
      <c r="AZ128" s="47"/>
      <c r="BG128" s="43"/>
      <c r="BI128" s="43"/>
      <c r="BJ128" s="43"/>
      <c r="BK128" s="43"/>
      <c r="BL128" s="43"/>
      <c r="BM128" s="43"/>
      <c r="BO128" s="43"/>
      <c r="BR128" s="43"/>
      <c r="BS128" s="43"/>
      <c r="BW128" s="43"/>
      <c r="CC128" s="43"/>
      <c r="CE128" s="43"/>
      <c r="CF128" s="43"/>
      <c r="CH128" s="43"/>
      <c r="CK128" s="43"/>
    </row>
    <row r="129" spans="2:89" x14ac:dyDescent="0.25">
      <c r="B129" s="89"/>
      <c r="C129" s="123"/>
      <c r="D129" s="47"/>
      <c r="E129" s="40"/>
      <c r="F129" s="43"/>
      <c r="G129" s="43"/>
      <c r="H129" s="41"/>
      <c r="I129" s="42"/>
      <c r="J129" s="42"/>
      <c r="K129" s="84"/>
      <c r="L129" s="45"/>
      <c r="M129" s="50"/>
      <c r="N129" s="42"/>
      <c r="O129" s="42"/>
      <c r="P129" s="42"/>
      <c r="Q129" s="42"/>
      <c r="R129" s="42"/>
      <c r="S129" s="42"/>
      <c r="T129" s="42"/>
      <c r="U129" s="67"/>
      <c r="V129" s="234"/>
      <c r="W129" s="48"/>
      <c r="X129" s="49"/>
      <c r="Y129" s="43"/>
      <c r="Z129" s="49"/>
      <c r="AA129" s="43"/>
      <c r="AB129" s="43"/>
      <c r="AC129" s="49"/>
      <c r="AE129" s="43"/>
      <c r="AF129" s="69"/>
      <c r="AI129" s="46"/>
      <c r="AJ129" s="138"/>
      <c r="AK129" s="138"/>
      <c r="AL129" s="138"/>
      <c r="AM129" s="42"/>
      <c r="AO129" s="42"/>
      <c r="AQ129" s="43"/>
      <c r="AR129" s="43"/>
      <c r="AS129" s="44"/>
      <c r="AT129" s="44"/>
      <c r="AU129" s="44"/>
      <c r="AW129" s="42"/>
      <c r="AX129" s="42"/>
      <c r="AY129" s="45"/>
      <c r="AZ129" s="47"/>
      <c r="BG129" s="43"/>
      <c r="BI129" s="43"/>
      <c r="BJ129" s="43"/>
      <c r="BK129" s="43"/>
      <c r="BL129" s="43"/>
      <c r="BM129" s="43"/>
      <c r="BO129" s="43"/>
      <c r="BR129" s="43"/>
      <c r="BS129" s="43"/>
      <c r="BW129" s="43"/>
      <c r="CC129" s="43"/>
      <c r="CE129" s="43"/>
      <c r="CF129" s="43"/>
      <c r="CH129" s="43"/>
      <c r="CK129" s="43"/>
    </row>
    <row r="130" spans="2:89" x14ac:dyDescent="0.25">
      <c r="B130" s="89"/>
      <c r="C130" s="123"/>
      <c r="D130" s="47"/>
      <c r="E130" s="40"/>
      <c r="F130" s="43"/>
      <c r="G130" s="43"/>
      <c r="H130" s="41"/>
      <c r="I130" s="42"/>
      <c r="J130" s="42"/>
      <c r="K130" s="84"/>
      <c r="L130" s="45"/>
      <c r="M130" s="50"/>
      <c r="N130" s="42"/>
      <c r="O130" s="42"/>
      <c r="P130" s="42"/>
      <c r="Q130" s="42"/>
      <c r="R130" s="42"/>
      <c r="S130" s="42"/>
      <c r="T130" s="42"/>
      <c r="U130" s="67"/>
      <c r="V130" s="220"/>
      <c r="W130" s="48"/>
      <c r="X130" s="49"/>
      <c r="Y130" s="43"/>
      <c r="Z130" s="49"/>
      <c r="AA130" s="43"/>
      <c r="AB130" s="43"/>
      <c r="AC130" s="49"/>
      <c r="AE130" s="43"/>
      <c r="AF130" s="69"/>
      <c r="AG130" s="128"/>
      <c r="AI130" s="46"/>
      <c r="AJ130" s="138"/>
      <c r="AK130" s="138"/>
      <c r="AL130" s="138"/>
      <c r="AM130" s="42"/>
      <c r="AO130" s="42"/>
      <c r="AQ130" s="43"/>
      <c r="AR130" s="43"/>
      <c r="AS130" s="44"/>
      <c r="AT130" s="44"/>
      <c r="AU130" s="44"/>
      <c r="AW130" s="42"/>
      <c r="AX130" s="42"/>
      <c r="AY130" s="45"/>
      <c r="AZ130" s="47"/>
      <c r="BG130" s="43"/>
      <c r="BI130" s="43"/>
      <c r="BJ130" s="43"/>
      <c r="BK130" s="43"/>
      <c r="BL130" s="43"/>
      <c r="BM130" s="43"/>
      <c r="BO130" s="43"/>
      <c r="BR130" s="43"/>
      <c r="BS130" s="43"/>
      <c r="BW130" s="43"/>
      <c r="CC130" s="43"/>
      <c r="CE130" s="43"/>
      <c r="CF130" s="43"/>
      <c r="CH130" s="43"/>
      <c r="CK130" s="43"/>
    </row>
    <row r="131" spans="2:89" ht="15.75" customHeight="1" x14ac:dyDescent="0.25">
      <c r="B131" s="89"/>
      <c r="C131" s="123"/>
      <c r="D131" s="47"/>
      <c r="E131" s="40"/>
      <c r="F131" s="43"/>
      <c r="G131" s="43"/>
      <c r="H131" s="41"/>
      <c r="I131" s="42"/>
      <c r="J131" s="42"/>
      <c r="K131" s="84"/>
      <c r="L131" s="45"/>
      <c r="M131" s="50"/>
      <c r="N131" s="42"/>
      <c r="O131" s="42"/>
      <c r="P131" s="42"/>
      <c r="Q131" s="42"/>
      <c r="R131" s="42"/>
      <c r="S131" s="42"/>
      <c r="T131" s="42"/>
      <c r="U131" s="67"/>
      <c r="V131" s="220"/>
      <c r="W131" s="48"/>
      <c r="X131" s="49"/>
      <c r="Y131" s="43"/>
      <c r="Z131" s="49"/>
      <c r="AA131" s="43"/>
      <c r="AB131" s="43"/>
      <c r="AC131" s="49"/>
      <c r="AE131" s="43"/>
      <c r="AF131" s="69"/>
      <c r="AI131" s="46"/>
      <c r="AJ131" s="138"/>
      <c r="AK131" s="138"/>
      <c r="AL131" s="138"/>
      <c r="AM131" s="42"/>
      <c r="AO131" s="42"/>
      <c r="AQ131" s="43"/>
      <c r="AR131" s="43"/>
      <c r="AS131" s="44"/>
      <c r="AT131" s="44"/>
      <c r="AU131" s="44"/>
      <c r="AW131" s="42"/>
      <c r="AX131" s="42"/>
      <c r="AY131" s="45"/>
      <c r="AZ131" s="47"/>
      <c r="BG131" s="43"/>
      <c r="BI131" s="43"/>
      <c r="BJ131" s="43"/>
      <c r="BK131" s="43"/>
      <c r="BL131" s="43"/>
      <c r="BM131" s="43"/>
      <c r="BO131" s="43"/>
      <c r="BR131" s="43"/>
      <c r="BS131" s="43"/>
      <c r="BW131" s="43"/>
      <c r="CC131" s="43"/>
      <c r="CE131" s="43"/>
      <c r="CF131" s="43"/>
      <c r="CH131" s="43"/>
      <c r="CK131" s="43"/>
    </row>
    <row r="132" spans="2:89" x14ac:dyDescent="0.25">
      <c r="B132" s="89"/>
      <c r="C132" s="123"/>
      <c r="D132" s="47"/>
      <c r="E132" s="40"/>
      <c r="F132" s="43"/>
      <c r="G132" s="43"/>
      <c r="H132" s="41"/>
      <c r="I132" s="42"/>
      <c r="J132" s="42"/>
      <c r="K132" s="84"/>
      <c r="L132" s="45"/>
      <c r="M132" s="50"/>
      <c r="N132" s="42"/>
      <c r="O132" s="42"/>
      <c r="P132" s="42"/>
      <c r="Q132" s="42"/>
      <c r="R132" s="42"/>
      <c r="S132" s="42"/>
      <c r="T132" s="42"/>
      <c r="U132" s="67"/>
      <c r="V132" s="220"/>
      <c r="W132" s="48"/>
      <c r="X132" s="49"/>
      <c r="Y132" s="43"/>
      <c r="Z132" s="49"/>
      <c r="AA132" s="43"/>
      <c r="AB132" s="43"/>
      <c r="AC132" s="49"/>
      <c r="AE132" s="43"/>
      <c r="AF132" s="69"/>
      <c r="AI132" s="46"/>
      <c r="AJ132" s="138"/>
      <c r="AK132" s="138"/>
      <c r="AL132" s="138"/>
      <c r="AM132" s="42"/>
      <c r="AO132" s="42"/>
      <c r="AQ132" s="43"/>
      <c r="AR132" s="43"/>
      <c r="AS132" s="44"/>
      <c r="AT132" s="44"/>
      <c r="AU132" s="44"/>
      <c r="AW132" s="42"/>
      <c r="AX132" s="42"/>
      <c r="AY132" s="45"/>
      <c r="AZ132" s="47"/>
      <c r="BG132" s="43"/>
      <c r="BI132" s="43"/>
      <c r="BJ132" s="43"/>
      <c r="BK132" s="43"/>
      <c r="BL132" s="43"/>
      <c r="BM132" s="43"/>
      <c r="BO132" s="43"/>
      <c r="BR132" s="43"/>
      <c r="BS132" s="43"/>
      <c r="BW132" s="43"/>
      <c r="CC132" s="43"/>
      <c r="CE132" s="43"/>
      <c r="CF132" s="43"/>
      <c r="CH132" s="43"/>
      <c r="CK132" s="43"/>
    </row>
    <row r="133" spans="2:89" x14ac:dyDescent="0.25">
      <c r="B133" s="89"/>
      <c r="C133" s="123"/>
      <c r="D133" s="47"/>
      <c r="E133" s="40"/>
      <c r="F133" s="43"/>
      <c r="G133" s="43"/>
      <c r="H133" s="41"/>
      <c r="I133" s="42"/>
      <c r="J133" s="42"/>
      <c r="K133" s="84"/>
      <c r="L133" s="45"/>
      <c r="M133" s="50"/>
      <c r="N133" s="42"/>
      <c r="O133" s="42"/>
      <c r="P133" s="42"/>
      <c r="Q133" s="42"/>
      <c r="R133" s="42"/>
      <c r="S133" s="42"/>
      <c r="T133" s="42"/>
      <c r="U133" s="67"/>
      <c r="V133" s="220"/>
      <c r="W133" s="48"/>
      <c r="X133" s="49"/>
      <c r="Y133" s="43"/>
      <c r="Z133" s="49"/>
      <c r="AA133" s="43"/>
      <c r="AB133" s="43"/>
      <c r="AC133" s="49"/>
      <c r="AE133" s="43"/>
      <c r="AF133" s="69"/>
      <c r="AI133" s="46"/>
      <c r="AJ133" s="138"/>
      <c r="AK133" s="138"/>
      <c r="AL133" s="138"/>
      <c r="AM133" s="42"/>
      <c r="AO133" s="42"/>
      <c r="AQ133" s="43"/>
      <c r="AR133" s="43"/>
      <c r="AS133" s="44"/>
      <c r="AT133" s="44"/>
      <c r="AU133" s="44"/>
      <c r="AW133" s="42"/>
      <c r="AX133" s="42"/>
      <c r="AY133" s="45"/>
      <c r="AZ133" s="47"/>
      <c r="BG133" s="43"/>
      <c r="BI133" s="43"/>
      <c r="BJ133" s="43"/>
      <c r="BK133" s="43"/>
      <c r="BL133" s="43"/>
      <c r="BM133" s="43"/>
      <c r="BO133" s="43"/>
      <c r="BR133" s="43"/>
      <c r="BS133" s="43"/>
      <c r="BW133" s="43"/>
      <c r="CC133" s="43"/>
      <c r="CE133" s="43"/>
      <c r="CF133" s="43"/>
      <c r="CH133" s="43"/>
      <c r="CK133" s="43"/>
    </row>
    <row r="134" spans="2:89" x14ac:dyDescent="0.25">
      <c r="B134" s="89"/>
      <c r="C134" s="123"/>
      <c r="D134" s="47"/>
      <c r="E134" s="40"/>
      <c r="F134" s="43"/>
      <c r="G134" s="43"/>
      <c r="H134" s="41"/>
      <c r="I134" s="42"/>
      <c r="J134" s="42"/>
      <c r="K134" s="84"/>
      <c r="L134" s="45"/>
      <c r="M134" s="50"/>
      <c r="N134" s="42"/>
      <c r="O134" s="42"/>
      <c r="P134" s="42"/>
      <c r="Q134" s="42"/>
      <c r="R134" s="42"/>
      <c r="S134" s="42"/>
      <c r="T134" s="42"/>
      <c r="U134" s="67"/>
      <c r="V134" s="220"/>
      <c r="W134" s="48"/>
      <c r="X134" s="49"/>
      <c r="Y134" s="43"/>
      <c r="Z134" s="49"/>
      <c r="AA134" s="43"/>
      <c r="AB134" s="43"/>
      <c r="AC134" s="49"/>
      <c r="AE134" s="43"/>
      <c r="AF134" s="69"/>
      <c r="AI134" s="46"/>
      <c r="AJ134" s="138"/>
      <c r="AK134" s="138"/>
      <c r="AL134" s="138"/>
      <c r="AM134" s="42"/>
      <c r="AO134" s="42"/>
      <c r="AQ134" s="43"/>
      <c r="AR134" s="43"/>
      <c r="AS134" s="44"/>
      <c r="AT134" s="44"/>
      <c r="AU134" s="44"/>
      <c r="AW134" s="42"/>
      <c r="AX134" s="42"/>
      <c r="AY134" s="45"/>
      <c r="AZ134" s="47"/>
      <c r="BG134" s="43"/>
      <c r="BI134" s="43"/>
      <c r="BJ134" s="43"/>
      <c r="BK134" s="43"/>
      <c r="BL134" s="43"/>
      <c r="BM134" s="43"/>
      <c r="BO134" s="43"/>
      <c r="BR134" s="43"/>
      <c r="BS134" s="43"/>
      <c r="BW134" s="43"/>
      <c r="CC134" s="43"/>
      <c r="CE134" s="43"/>
      <c r="CF134" s="43"/>
      <c r="CH134" s="43"/>
      <c r="CK134" s="43"/>
    </row>
    <row r="135" spans="2:89" x14ac:dyDescent="0.25">
      <c r="B135" s="89"/>
      <c r="C135" s="123"/>
      <c r="D135" s="47"/>
      <c r="E135" s="40"/>
      <c r="F135" s="43"/>
      <c r="G135" s="43"/>
      <c r="H135" s="41"/>
      <c r="I135" s="42"/>
      <c r="J135" s="42"/>
      <c r="K135" s="84"/>
      <c r="L135" s="45"/>
      <c r="M135" s="50"/>
      <c r="N135" s="42"/>
      <c r="O135" s="42"/>
      <c r="P135" s="42"/>
      <c r="Q135" s="42"/>
      <c r="R135" s="42"/>
      <c r="S135" s="42"/>
      <c r="T135" s="42"/>
      <c r="U135" s="67"/>
      <c r="V135" s="220"/>
      <c r="W135" s="48"/>
      <c r="X135" s="49"/>
      <c r="Y135" s="43"/>
      <c r="Z135" s="49"/>
      <c r="AA135" s="43"/>
      <c r="AB135" s="43"/>
      <c r="AC135" s="49"/>
      <c r="AE135" s="43"/>
      <c r="AF135" s="69"/>
      <c r="AI135" s="46"/>
      <c r="AJ135" s="138"/>
      <c r="AK135" s="138"/>
      <c r="AL135" s="138"/>
      <c r="AM135" s="42"/>
      <c r="AO135" s="42"/>
      <c r="AQ135" s="43"/>
      <c r="AR135" s="43"/>
      <c r="AS135" s="44"/>
      <c r="AT135" s="44"/>
      <c r="AU135" s="44"/>
      <c r="AW135" s="42"/>
      <c r="AX135" s="42"/>
      <c r="AY135" s="45"/>
      <c r="AZ135" s="47"/>
      <c r="BG135" s="43"/>
      <c r="BI135" s="43"/>
      <c r="BJ135" s="43"/>
      <c r="BK135" s="43"/>
      <c r="BL135" s="43"/>
      <c r="BM135" s="43"/>
      <c r="BO135" s="43"/>
      <c r="BR135" s="43"/>
      <c r="BS135" s="43"/>
      <c r="BW135" s="43"/>
      <c r="CC135" s="43"/>
      <c r="CE135" s="43"/>
      <c r="CF135" s="43"/>
      <c r="CH135" s="43"/>
      <c r="CK135" s="43"/>
    </row>
    <row r="136" spans="2:89" x14ac:dyDescent="0.25">
      <c r="B136" s="89"/>
      <c r="C136" s="123"/>
      <c r="D136" s="47"/>
      <c r="E136" s="40"/>
      <c r="F136" s="43"/>
      <c r="G136" s="43"/>
      <c r="H136" s="41"/>
      <c r="I136" s="42"/>
      <c r="J136" s="42"/>
      <c r="K136" s="84"/>
      <c r="L136" s="45"/>
      <c r="M136" s="50"/>
      <c r="N136" s="42"/>
      <c r="O136" s="42"/>
      <c r="P136" s="42"/>
      <c r="Q136" s="42"/>
      <c r="R136" s="42"/>
      <c r="S136" s="42"/>
      <c r="T136" s="42"/>
      <c r="U136" s="67"/>
      <c r="V136" s="220"/>
      <c r="W136" s="48"/>
      <c r="X136" s="49"/>
      <c r="Y136" s="43"/>
      <c r="Z136" s="49"/>
      <c r="AA136" s="43"/>
      <c r="AB136" s="43"/>
      <c r="AC136" s="49"/>
      <c r="AE136" s="43"/>
      <c r="AF136" s="69"/>
      <c r="AI136" s="46"/>
      <c r="AJ136" s="138"/>
      <c r="AK136" s="138"/>
      <c r="AL136" s="138"/>
      <c r="AM136" s="42"/>
      <c r="AO136" s="42"/>
      <c r="AQ136" s="43"/>
      <c r="AR136" s="43"/>
      <c r="AS136" s="44"/>
      <c r="AT136" s="44"/>
      <c r="AU136" s="44"/>
      <c r="AW136" s="42"/>
      <c r="AX136" s="42"/>
      <c r="AY136" s="45"/>
      <c r="AZ136" s="47"/>
      <c r="BG136" s="43"/>
      <c r="BI136" s="43"/>
      <c r="BJ136" s="43"/>
      <c r="BK136" s="43"/>
      <c r="BL136" s="43"/>
      <c r="BM136" s="43"/>
      <c r="BO136" s="43"/>
      <c r="BR136" s="43"/>
      <c r="BS136" s="43"/>
      <c r="BW136" s="43"/>
      <c r="CC136" s="43"/>
      <c r="CE136" s="43"/>
      <c r="CF136" s="43"/>
      <c r="CH136" s="43"/>
      <c r="CK136" s="43"/>
    </row>
    <row r="137" spans="2:89" x14ac:dyDescent="0.25">
      <c r="B137" s="89"/>
      <c r="C137" s="123"/>
      <c r="D137" s="47"/>
      <c r="E137" s="40"/>
      <c r="F137" s="43"/>
      <c r="G137" s="43"/>
      <c r="H137" s="41"/>
      <c r="I137" s="42"/>
      <c r="J137" s="42"/>
      <c r="K137" s="84"/>
      <c r="L137" s="45"/>
      <c r="M137" s="50"/>
      <c r="N137" s="42"/>
      <c r="O137" s="42"/>
      <c r="P137" s="42"/>
      <c r="Q137" s="42"/>
      <c r="R137" s="42"/>
      <c r="S137" s="42"/>
      <c r="T137" s="42"/>
      <c r="U137" s="67"/>
      <c r="V137" s="220"/>
      <c r="W137" s="48"/>
      <c r="X137" s="49"/>
      <c r="Y137" s="43"/>
      <c r="Z137" s="49"/>
      <c r="AA137" s="43"/>
      <c r="AB137" s="43"/>
      <c r="AC137" s="49"/>
      <c r="AE137" s="43"/>
      <c r="AF137" s="69"/>
      <c r="AI137" s="46"/>
      <c r="AJ137" s="138"/>
      <c r="AK137" s="138"/>
      <c r="AL137" s="138"/>
      <c r="AM137" s="42"/>
      <c r="AO137" s="42"/>
      <c r="AQ137" s="43"/>
      <c r="AR137" s="43"/>
      <c r="AS137" s="44"/>
      <c r="AT137" s="44"/>
      <c r="AU137" s="44"/>
      <c r="AW137" s="42"/>
      <c r="AX137" s="42"/>
      <c r="AY137" s="45"/>
      <c r="AZ137" s="47"/>
      <c r="BG137" s="43"/>
      <c r="BI137" s="43"/>
      <c r="BJ137" s="43"/>
      <c r="BK137" s="43"/>
      <c r="BL137" s="43"/>
      <c r="BM137" s="43"/>
      <c r="BO137" s="43"/>
      <c r="BR137" s="43"/>
      <c r="BS137" s="43"/>
      <c r="BW137" s="43"/>
      <c r="CC137" s="43"/>
      <c r="CE137" s="43"/>
      <c r="CF137" s="43"/>
      <c r="CH137" s="43"/>
      <c r="CK137" s="43"/>
    </row>
    <row r="138" spans="2:89" x14ac:dyDescent="0.25">
      <c r="B138" s="89"/>
      <c r="C138" s="123"/>
      <c r="D138" s="47"/>
      <c r="E138" s="40"/>
      <c r="F138" s="43"/>
      <c r="G138" s="43"/>
      <c r="H138" s="41"/>
      <c r="I138" s="42"/>
      <c r="J138" s="42"/>
      <c r="K138" s="84"/>
      <c r="L138" s="45"/>
      <c r="M138" s="50"/>
      <c r="N138" s="42"/>
      <c r="O138" s="42"/>
      <c r="P138" s="42"/>
      <c r="Q138" s="42"/>
      <c r="R138" s="42"/>
      <c r="S138" s="42"/>
      <c r="T138" s="42"/>
      <c r="U138" s="67"/>
      <c r="V138" s="220"/>
      <c r="W138" s="48"/>
      <c r="X138" s="49"/>
      <c r="Y138" s="43"/>
      <c r="Z138" s="49"/>
      <c r="AA138" s="43"/>
      <c r="AB138" s="43"/>
      <c r="AC138" s="49"/>
      <c r="AE138" s="43"/>
      <c r="AF138" s="69"/>
      <c r="AI138" s="46"/>
      <c r="AJ138" s="138"/>
      <c r="AK138" s="138"/>
      <c r="AL138" s="138"/>
      <c r="AM138" s="42"/>
      <c r="AO138" s="42"/>
      <c r="AQ138" s="43"/>
      <c r="AR138" s="43"/>
      <c r="AS138" s="44"/>
      <c r="AT138" s="44"/>
      <c r="AU138" s="44"/>
      <c r="AW138" s="42"/>
      <c r="AX138" s="42"/>
      <c r="AY138" s="45"/>
      <c r="AZ138" s="47"/>
      <c r="BG138" s="43"/>
      <c r="BI138" s="43"/>
      <c r="BJ138" s="43"/>
      <c r="BK138" s="43"/>
      <c r="BL138" s="43"/>
      <c r="BM138" s="43"/>
      <c r="BO138" s="43"/>
      <c r="BR138" s="43"/>
      <c r="BS138" s="43"/>
      <c r="BW138" s="43"/>
      <c r="CC138" s="43"/>
      <c r="CE138" s="43"/>
      <c r="CF138" s="43"/>
      <c r="CH138" s="43"/>
      <c r="CK138" s="43"/>
    </row>
    <row r="139" spans="2:89" x14ac:dyDescent="0.25">
      <c r="B139" s="89"/>
      <c r="C139" s="123"/>
      <c r="D139" s="47"/>
      <c r="E139" s="40"/>
      <c r="F139" s="43"/>
      <c r="G139" s="43"/>
      <c r="H139" s="41"/>
      <c r="I139" s="42"/>
      <c r="J139" s="42"/>
      <c r="K139" s="84"/>
      <c r="L139" s="45"/>
      <c r="M139" s="50"/>
      <c r="N139" s="42"/>
      <c r="O139" s="42"/>
      <c r="P139" s="42"/>
      <c r="Q139" s="42"/>
      <c r="R139" s="42"/>
      <c r="S139" s="42"/>
      <c r="T139" s="42"/>
      <c r="U139" s="67"/>
      <c r="V139" s="220"/>
      <c r="W139" s="48"/>
      <c r="X139" s="49"/>
      <c r="Y139" s="43"/>
      <c r="Z139" s="49"/>
      <c r="AA139" s="43"/>
      <c r="AB139" s="43"/>
      <c r="AC139" s="49"/>
      <c r="AE139" s="43"/>
      <c r="AF139" s="69"/>
      <c r="AI139" s="46"/>
      <c r="AJ139" s="138"/>
      <c r="AK139" s="138"/>
      <c r="AL139" s="138"/>
      <c r="AM139" s="42"/>
      <c r="AO139" s="42"/>
      <c r="AQ139" s="43"/>
      <c r="AR139" s="43"/>
      <c r="AS139" s="44"/>
      <c r="AT139" s="44"/>
      <c r="AU139" s="44"/>
      <c r="AW139" s="42"/>
      <c r="AX139" s="42"/>
      <c r="AY139" s="45"/>
      <c r="AZ139" s="47"/>
      <c r="BG139" s="43"/>
      <c r="BI139" s="43"/>
      <c r="BJ139" s="43"/>
      <c r="BK139" s="43"/>
      <c r="BL139" s="43"/>
      <c r="BM139" s="43"/>
      <c r="BO139" s="43"/>
      <c r="BR139" s="43"/>
      <c r="BS139" s="43"/>
      <c r="BW139" s="43"/>
      <c r="CC139" s="43"/>
      <c r="CE139" s="43"/>
      <c r="CF139" s="43"/>
      <c r="CH139" s="43"/>
      <c r="CK139" s="43"/>
    </row>
    <row r="140" spans="2:89" ht="15.75" customHeight="1" x14ac:dyDescent="0.25">
      <c r="B140" s="89"/>
      <c r="C140" s="123"/>
      <c r="D140" s="47"/>
      <c r="E140" s="40"/>
      <c r="F140" s="43"/>
      <c r="G140" s="43"/>
      <c r="H140" s="41"/>
      <c r="I140" s="42"/>
      <c r="J140" s="42"/>
      <c r="K140" s="84"/>
      <c r="L140" s="45"/>
      <c r="M140" s="50"/>
      <c r="N140" s="42"/>
      <c r="O140" s="42"/>
      <c r="P140" s="42"/>
      <c r="Q140" s="42"/>
      <c r="R140" s="42"/>
      <c r="S140" s="42"/>
      <c r="T140" s="42"/>
      <c r="U140" s="67"/>
      <c r="V140" s="234"/>
      <c r="W140" s="48"/>
      <c r="X140" s="49"/>
      <c r="Y140" s="43"/>
      <c r="Z140" s="49"/>
      <c r="AA140" s="43"/>
      <c r="AB140" s="43"/>
      <c r="AC140" s="49"/>
      <c r="AE140" s="43"/>
      <c r="AF140" s="69"/>
      <c r="AI140" s="46"/>
      <c r="AJ140" s="138"/>
      <c r="AK140" s="138"/>
      <c r="AL140" s="138"/>
      <c r="AM140" s="42"/>
      <c r="AO140" s="42"/>
      <c r="AQ140" s="43"/>
      <c r="AR140" s="43"/>
      <c r="AS140" s="44"/>
      <c r="AT140" s="44"/>
      <c r="AU140" s="44"/>
      <c r="AW140" s="42"/>
      <c r="AX140" s="42"/>
      <c r="AY140" s="45"/>
      <c r="AZ140" s="47"/>
      <c r="BG140" s="43"/>
      <c r="BI140" s="43"/>
      <c r="BJ140" s="43"/>
      <c r="BK140" s="43"/>
      <c r="BL140" s="43"/>
      <c r="BM140" s="43"/>
      <c r="BO140" s="43"/>
      <c r="BR140" s="43"/>
      <c r="BS140" s="43"/>
      <c r="BW140" s="43"/>
      <c r="CC140" s="43"/>
      <c r="CE140" s="43"/>
      <c r="CF140" s="43"/>
      <c r="CH140" s="43"/>
      <c r="CK140" s="43"/>
    </row>
    <row r="141" spans="2:89" x14ac:dyDescent="0.25">
      <c r="B141" s="89"/>
      <c r="C141" s="123"/>
      <c r="D141" s="47"/>
      <c r="E141" s="40"/>
      <c r="F141" s="43"/>
      <c r="G141" s="43"/>
      <c r="H141" s="41"/>
      <c r="I141" s="42"/>
      <c r="J141" s="42"/>
      <c r="K141" s="84"/>
      <c r="L141" s="45"/>
      <c r="M141" s="50"/>
      <c r="N141" s="42"/>
      <c r="O141" s="42"/>
      <c r="P141" s="42"/>
      <c r="Q141" s="42"/>
      <c r="R141" s="42"/>
      <c r="S141" s="42"/>
      <c r="T141" s="42"/>
      <c r="U141" s="67"/>
      <c r="V141" s="234"/>
      <c r="W141" s="48"/>
      <c r="X141" s="49"/>
      <c r="Y141" s="43"/>
      <c r="Z141" s="49"/>
      <c r="AA141" s="43"/>
      <c r="AB141" s="43"/>
      <c r="AC141" s="49"/>
      <c r="AE141" s="43"/>
      <c r="AF141" s="69"/>
      <c r="AI141" s="46"/>
      <c r="AJ141" s="138"/>
      <c r="AK141" s="138"/>
      <c r="AL141" s="138"/>
      <c r="AM141" s="42"/>
      <c r="AO141" s="42"/>
      <c r="AQ141" s="43"/>
      <c r="AR141" s="43"/>
      <c r="AS141" s="44"/>
      <c r="AT141" s="44"/>
      <c r="AU141" s="44"/>
      <c r="AW141" s="42"/>
      <c r="AX141" s="42"/>
      <c r="AY141" s="45"/>
      <c r="AZ141" s="47"/>
      <c r="BG141" s="43"/>
      <c r="BI141" s="43"/>
      <c r="BJ141" s="43"/>
      <c r="BK141" s="43"/>
      <c r="BL141" s="43"/>
      <c r="BM141" s="43"/>
      <c r="BO141" s="43"/>
      <c r="BR141" s="43"/>
      <c r="BS141" s="43"/>
      <c r="BW141" s="43"/>
      <c r="CC141" s="43"/>
      <c r="CE141" s="43"/>
      <c r="CF141" s="43"/>
      <c r="CH141" s="43"/>
      <c r="CK141" s="43"/>
    </row>
    <row r="142" spans="2:89" x14ac:dyDescent="0.25">
      <c r="B142" s="89"/>
      <c r="C142" s="123"/>
      <c r="D142" s="47"/>
      <c r="E142" s="40"/>
      <c r="F142" s="43"/>
      <c r="G142" s="43"/>
      <c r="H142" s="41"/>
      <c r="I142" s="42"/>
      <c r="J142" s="42"/>
      <c r="K142" s="84"/>
      <c r="L142" s="115"/>
      <c r="M142" s="50"/>
      <c r="N142" s="42"/>
      <c r="O142" s="42"/>
      <c r="P142" s="42"/>
      <c r="Q142" s="42"/>
      <c r="R142" s="42"/>
      <c r="S142" s="42"/>
      <c r="T142" s="42"/>
      <c r="U142" s="67"/>
      <c r="V142" s="220"/>
      <c r="W142" s="48"/>
      <c r="X142" s="49"/>
      <c r="Y142" s="43"/>
      <c r="Z142" s="49"/>
      <c r="AA142" s="43"/>
      <c r="AB142" s="43"/>
      <c r="AC142" s="49"/>
      <c r="AE142" s="43"/>
      <c r="AF142" s="69"/>
      <c r="AI142" s="46"/>
      <c r="AJ142" s="138"/>
      <c r="AK142" s="138"/>
      <c r="AL142" s="138"/>
      <c r="AM142" s="42"/>
      <c r="AO142" s="42"/>
      <c r="AQ142" s="43"/>
      <c r="AR142" s="43"/>
      <c r="AS142" s="44"/>
      <c r="AT142" s="44"/>
      <c r="AU142" s="44"/>
      <c r="AW142" s="42"/>
      <c r="AX142" s="42"/>
      <c r="AY142" s="45"/>
      <c r="AZ142" s="47"/>
      <c r="BG142" s="43"/>
      <c r="BI142" s="43"/>
      <c r="BJ142" s="43"/>
      <c r="BK142" s="43"/>
      <c r="BL142" s="43"/>
      <c r="BM142" s="43"/>
      <c r="BO142" s="43"/>
      <c r="BR142" s="43"/>
      <c r="BS142" s="43"/>
      <c r="BW142" s="43"/>
      <c r="CC142" s="43"/>
      <c r="CE142" s="43"/>
      <c r="CF142" s="43"/>
      <c r="CH142" s="43"/>
      <c r="CK142" s="43"/>
    </row>
    <row r="143" spans="2:89" x14ac:dyDescent="0.25">
      <c r="B143" s="89"/>
      <c r="C143" s="123"/>
      <c r="D143" s="47"/>
      <c r="E143" s="40"/>
      <c r="F143" s="43"/>
      <c r="G143" s="43"/>
      <c r="H143" s="41"/>
      <c r="I143" s="42"/>
      <c r="J143" s="42"/>
      <c r="K143" s="84"/>
      <c r="L143" s="45"/>
      <c r="M143" s="50"/>
      <c r="N143" s="42"/>
      <c r="O143" s="42"/>
      <c r="P143" s="42"/>
      <c r="Q143" s="42"/>
      <c r="R143" s="42"/>
      <c r="S143" s="42"/>
      <c r="T143" s="42"/>
      <c r="U143" s="67"/>
      <c r="V143" s="220"/>
      <c r="W143" s="48"/>
      <c r="X143" s="49"/>
      <c r="Y143" s="43"/>
      <c r="Z143" s="49"/>
      <c r="AA143" s="43"/>
      <c r="AB143" s="43"/>
      <c r="AC143" s="49"/>
      <c r="AE143" s="43"/>
      <c r="AF143" s="69"/>
      <c r="AI143" s="46"/>
      <c r="AJ143" s="138"/>
      <c r="AK143" s="138"/>
      <c r="AL143" s="138"/>
      <c r="AM143" s="42"/>
      <c r="AO143" s="42"/>
      <c r="AQ143" s="43"/>
      <c r="AR143" s="43"/>
      <c r="AS143" s="44"/>
      <c r="AT143" s="44"/>
      <c r="AU143" s="44"/>
      <c r="AW143" s="42"/>
      <c r="AX143" s="42"/>
      <c r="AY143" s="45"/>
      <c r="AZ143" s="47"/>
      <c r="BG143" s="43"/>
      <c r="BI143" s="43"/>
      <c r="BJ143" s="43"/>
      <c r="BK143" s="43"/>
      <c r="BL143" s="43"/>
      <c r="BM143" s="43"/>
      <c r="BO143" s="43"/>
      <c r="BR143" s="43"/>
      <c r="BS143" s="43"/>
      <c r="BW143" s="43"/>
      <c r="CC143" s="43"/>
      <c r="CE143" s="43"/>
      <c r="CF143" s="43"/>
      <c r="CH143" s="43"/>
      <c r="CK143" s="43"/>
    </row>
    <row r="144" spans="2:89" x14ac:dyDescent="0.25">
      <c r="B144" s="89"/>
      <c r="C144" s="123"/>
      <c r="D144" s="47"/>
      <c r="E144" s="40"/>
      <c r="F144" s="43"/>
      <c r="G144" s="43"/>
      <c r="H144" s="41"/>
      <c r="I144" s="42"/>
      <c r="J144" s="42"/>
      <c r="K144" s="84"/>
      <c r="L144" s="45"/>
      <c r="M144" s="50"/>
      <c r="N144" s="42"/>
      <c r="O144" s="42"/>
      <c r="P144" s="42"/>
      <c r="Q144" s="42"/>
      <c r="R144" s="42"/>
      <c r="S144" s="42"/>
      <c r="T144" s="42"/>
      <c r="U144" s="67"/>
      <c r="V144" s="220"/>
      <c r="W144" s="48"/>
      <c r="X144" s="49"/>
      <c r="Y144" s="43"/>
      <c r="Z144" s="49"/>
      <c r="AA144" s="43"/>
      <c r="AB144" s="43"/>
      <c r="AC144" s="49"/>
      <c r="AE144" s="43"/>
      <c r="AF144" s="69"/>
      <c r="AI144" s="46"/>
      <c r="AJ144" s="138"/>
      <c r="AK144" s="138"/>
      <c r="AL144" s="138"/>
      <c r="AM144" s="42"/>
      <c r="AO144" s="42"/>
      <c r="AQ144" s="43"/>
      <c r="AR144" s="43"/>
      <c r="AS144" s="44"/>
      <c r="AT144" s="44"/>
      <c r="AU144" s="44"/>
      <c r="AW144" s="42"/>
      <c r="AX144" s="42"/>
      <c r="AY144" s="45"/>
      <c r="AZ144" s="47"/>
      <c r="BG144" s="43"/>
      <c r="BI144" s="43"/>
      <c r="BJ144" s="43"/>
      <c r="BK144" s="43"/>
      <c r="BL144" s="43"/>
      <c r="BM144" s="43"/>
      <c r="BO144" s="43"/>
      <c r="BR144" s="43"/>
      <c r="BS144" s="43"/>
      <c r="BW144" s="43"/>
      <c r="CC144" s="43"/>
      <c r="CE144" s="43"/>
      <c r="CF144" s="43"/>
      <c r="CH144" s="43"/>
      <c r="CK144" s="43"/>
    </row>
    <row r="145" spans="2:89" x14ac:dyDescent="0.25">
      <c r="B145" s="89"/>
      <c r="C145" s="123"/>
      <c r="D145" s="47"/>
      <c r="E145" s="40"/>
      <c r="F145" s="43"/>
      <c r="G145" s="43"/>
      <c r="H145" s="41"/>
      <c r="I145" s="42"/>
      <c r="J145" s="42"/>
      <c r="K145" s="84"/>
      <c r="L145" s="45"/>
      <c r="M145" s="50"/>
      <c r="N145" s="42"/>
      <c r="O145" s="42"/>
      <c r="P145" s="42"/>
      <c r="Q145" s="42"/>
      <c r="R145" s="42"/>
      <c r="S145" s="42"/>
      <c r="T145" s="42"/>
      <c r="U145" s="67"/>
      <c r="V145" s="220"/>
      <c r="W145" s="48"/>
      <c r="X145" s="49"/>
      <c r="Y145" s="43"/>
      <c r="Z145" s="49"/>
      <c r="AA145" s="43"/>
      <c r="AB145" s="43"/>
      <c r="AC145" s="49"/>
      <c r="AE145" s="43"/>
      <c r="AF145" s="69"/>
      <c r="AI145" s="46"/>
      <c r="AJ145" s="138"/>
      <c r="AK145" s="138"/>
      <c r="AL145" s="138"/>
      <c r="AM145" s="42"/>
      <c r="AO145" s="42"/>
      <c r="AQ145" s="43"/>
      <c r="AR145" s="43"/>
      <c r="AS145" s="44"/>
      <c r="AT145" s="44"/>
      <c r="AU145" s="44"/>
      <c r="AW145" s="42"/>
      <c r="AX145" s="42"/>
      <c r="AY145" s="45"/>
      <c r="AZ145" s="47"/>
      <c r="BG145" s="43"/>
      <c r="BI145" s="43"/>
      <c r="BJ145" s="43"/>
      <c r="BK145" s="43"/>
      <c r="BL145" s="43"/>
      <c r="BM145" s="43"/>
      <c r="BO145" s="43"/>
      <c r="BR145" s="43"/>
      <c r="BS145" s="43"/>
      <c r="BW145" s="43"/>
      <c r="CC145" s="43"/>
      <c r="CE145" s="43"/>
      <c r="CF145" s="43"/>
      <c r="CH145" s="43"/>
      <c r="CK145" s="43"/>
    </row>
    <row r="146" spans="2:89" x14ac:dyDescent="0.25">
      <c r="B146" s="89"/>
      <c r="C146" s="123"/>
      <c r="D146" s="47"/>
      <c r="E146" s="40"/>
      <c r="F146" s="43"/>
      <c r="G146" s="43"/>
      <c r="H146" s="41"/>
      <c r="I146" s="42"/>
      <c r="J146" s="42"/>
      <c r="K146" s="84"/>
      <c r="L146" s="45"/>
      <c r="M146" s="50"/>
      <c r="N146" s="42"/>
      <c r="O146" s="42"/>
      <c r="P146" s="42"/>
      <c r="Q146" s="42"/>
      <c r="R146" s="42"/>
      <c r="S146" s="42"/>
      <c r="T146" s="42"/>
      <c r="U146" s="67"/>
      <c r="V146" s="220"/>
      <c r="W146" s="48"/>
      <c r="X146" s="49"/>
      <c r="Y146" s="43"/>
      <c r="Z146" s="49"/>
      <c r="AA146" s="43"/>
      <c r="AB146" s="43"/>
      <c r="AC146" s="49"/>
      <c r="AE146" s="43"/>
      <c r="AF146" s="69"/>
      <c r="AI146" s="46"/>
      <c r="AJ146" s="138"/>
      <c r="AK146" s="138"/>
      <c r="AL146" s="138"/>
      <c r="AM146" s="42"/>
      <c r="AO146" s="42"/>
      <c r="AQ146" s="43"/>
      <c r="AR146" s="43"/>
      <c r="AS146" s="44"/>
      <c r="AT146" s="44"/>
      <c r="AU146" s="44"/>
      <c r="AW146" s="42"/>
      <c r="AX146" s="42"/>
      <c r="AY146" s="45"/>
      <c r="AZ146" s="47"/>
      <c r="BG146" s="43"/>
      <c r="BI146" s="43"/>
      <c r="BJ146" s="43"/>
      <c r="BK146" s="43"/>
      <c r="BL146" s="43"/>
      <c r="BM146" s="43"/>
      <c r="BO146" s="43"/>
      <c r="BR146" s="43"/>
      <c r="BS146" s="43"/>
      <c r="BW146" s="43"/>
      <c r="CC146" s="43"/>
      <c r="CE146" s="43"/>
      <c r="CF146" s="43"/>
      <c r="CH146" s="43"/>
      <c r="CK146" s="43"/>
    </row>
    <row r="147" spans="2:89" x14ac:dyDescent="0.25">
      <c r="B147" s="89"/>
      <c r="C147" s="123"/>
      <c r="D147" s="47"/>
      <c r="E147" s="40"/>
      <c r="F147" s="43"/>
      <c r="G147" s="43"/>
      <c r="H147" s="41"/>
      <c r="I147" s="42"/>
      <c r="J147" s="42"/>
      <c r="K147" s="84"/>
      <c r="L147" s="45"/>
      <c r="M147" s="50"/>
      <c r="N147" s="42"/>
      <c r="O147" s="42"/>
      <c r="P147" s="42"/>
      <c r="Q147" s="42"/>
      <c r="R147" s="42"/>
      <c r="S147" s="42"/>
      <c r="T147" s="42"/>
      <c r="U147" s="67"/>
      <c r="V147" s="220"/>
      <c r="W147" s="48"/>
      <c r="X147" s="49"/>
      <c r="Y147" s="43"/>
      <c r="Z147" s="49"/>
      <c r="AA147" s="43"/>
      <c r="AB147" s="43"/>
      <c r="AC147" s="49"/>
      <c r="AE147" s="43"/>
      <c r="AF147" s="69"/>
      <c r="AI147" s="46"/>
      <c r="AJ147" s="138"/>
      <c r="AK147" s="138"/>
      <c r="AL147" s="138"/>
      <c r="AM147" s="42"/>
      <c r="AO147" s="42"/>
      <c r="AQ147" s="43"/>
      <c r="AR147" s="43"/>
      <c r="AS147" s="44"/>
      <c r="AT147" s="44"/>
      <c r="AU147" s="44"/>
      <c r="AW147" s="42"/>
      <c r="AX147" s="42"/>
      <c r="AY147" s="45"/>
      <c r="AZ147" s="47"/>
      <c r="BG147" s="43"/>
      <c r="BI147" s="43"/>
      <c r="BJ147" s="43"/>
      <c r="BK147" s="43"/>
      <c r="BL147" s="43"/>
      <c r="BM147" s="43"/>
      <c r="BO147" s="43"/>
      <c r="BR147" s="43"/>
      <c r="BS147" s="43"/>
      <c r="BW147" s="43"/>
      <c r="CC147" s="43"/>
      <c r="CE147" s="43"/>
      <c r="CF147" s="43"/>
      <c r="CH147" s="43"/>
      <c r="CK147" s="43"/>
    </row>
    <row r="148" spans="2:89" x14ac:dyDescent="0.25">
      <c r="B148" s="89"/>
      <c r="C148" s="123"/>
      <c r="D148" s="47"/>
      <c r="E148" s="40"/>
      <c r="F148" s="43"/>
      <c r="G148" s="43"/>
      <c r="H148" s="41"/>
      <c r="I148" s="42"/>
      <c r="J148" s="42"/>
      <c r="K148" s="84"/>
      <c r="L148" s="45"/>
      <c r="M148" s="50"/>
      <c r="N148" s="42"/>
      <c r="O148" s="42"/>
      <c r="P148" s="42"/>
      <c r="Q148" s="42"/>
      <c r="R148" s="42"/>
      <c r="S148" s="42"/>
      <c r="T148" s="42"/>
      <c r="U148" s="67"/>
      <c r="V148" s="220"/>
      <c r="W148" s="48"/>
      <c r="X148" s="49"/>
      <c r="Y148" s="43"/>
      <c r="Z148" s="49"/>
      <c r="AA148" s="43"/>
      <c r="AB148" s="43"/>
      <c r="AC148" s="49"/>
      <c r="AE148" s="43"/>
      <c r="AF148" s="69"/>
      <c r="AI148" s="46"/>
      <c r="AJ148" s="138"/>
      <c r="AK148" s="138"/>
      <c r="AL148" s="138"/>
      <c r="AM148" s="42"/>
      <c r="AO148" s="42"/>
      <c r="AQ148" s="43"/>
      <c r="AR148" s="43"/>
      <c r="AS148" s="44"/>
      <c r="AT148" s="44"/>
      <c r="AU148" s="44"/>
      <c r="AW148" s="42"/>
      <c r="AX148" s="42"/>
      <c r="AY148" s="45"/>
      <c r="AZ148" s="47"/>
      <c r="BG148" s="43"/>
      <c r="BI148" s="43"/>
      <c r="BJ148" s="43"/>
      <c r="BK148" s="43"/>
      <c r="BL148" s="43"/>
      <c r="BM148" s="43"/>
      <c r="BO148" s="43"/>
      <c r="BR148" s="43"/>
      <c r="BS148" s="43"/>
      <c r="BW148" s="43"/>
      <c r="CC148" s="43"/>
      <c r="CE148" s="43"/>
      <c r="CF148" s="43"/>
      <c r="CH148" s="43"/>
      <c r="CK148" s="43"/>
    </row>
    <row r="149" spans="2:89" x14ac:dyDescent="0.25">
      <c r="B149" s="89"/>
      <c r="C149" s="123"/>
      <c r="D149" s="47"/>
      <c r="E149" s="40"/>
      <c r="F149" s="43"/>
      <c r="G149" s="43"/>
      <c r="H149" s="41"/>
      <c r="I149" s="42"/>
      <c r="J149" s="42"/>
      <c r="K149" s="84"/>
      <c r="L149" s="45"/>
      <c r="M149" s="50"/>
      <c r="N149" s="42"/>
      <c r="O149" s="42"/>
      <c r="P149" s="42"/>
      <c r="Q149" s="42"/>
      <c r="R149" s="42"/>
      <c r="S149" s="42"/>
      <c r="T149" s="42"/>
      <c r="U149" s="67"/>
      <c r="V149" s="222"/>
      <c r="W149" s="48"/>
      <c r="X149" s="49"/>
      <c r="Y149" s="43"/>
      <c r="Z149" s="49"/>
      <c r="AA149" s="43"/>
      <c r="AB149" s="43"/>
      <c r="AC149" s="49"/>
      <c r="AE149" s="43"/>
      <c r="AF149" s="69"/>
      <c r="AI149" s="46"/>
      <c r="AJ149" s="138"/>
      <c r="AK149" s="138"/>
      <c r="AL149" s="138"/>
      <c r="AM149" s="42"/>
      <c r="AO149" s="42"/>
      <c r="AQ149" s="43"/>
      <c r="AR149" s="43"/>
      <c r="AS149" s="44"/>
      <c r="AT149" s="44"/>
      <c r="AU149" s="44"/>
      <c r="AW149" s="42"/>
      <c r="AX149" s="42"/>
      <c r="AY149" s="45"/>
      <c r="AZ149" s="47"/>
      <c r="BG149" s="43"/>
      <c r="BI149" s="43"/>
      <c r="BJ149" s="43"/>
      <c r="BK149" s="43"/>
      <c r="BL149" s="43"/>
      <c r="BM149" s="43"/>
      <c r="BO149" s="43"/>
      <c r="BR149" s="43"/>
      <c r="BS149" s="43"/>
      <c r="BW149" s="43"/>
      <c r="CC149" s="43"/>
      <c r="CE149" s="43"/>
      <c r="CF149" s="43"/>
      <c r="CH149" s="43"/>
      <c r="CK149" s="43"/>
    </row>
    <row r="150" spans="2:89" x14ac:dyDescent="0.25">
      <c r="B150" s="89"/>
      <c r="C150" s="123"/>
      <c r="D150" s="47"/>
      <c r="E150" s="40"/>
      <c r="F150" s="43"/>
      <c r="G150" s="43"/>
      <c r="H150" s="41"/>
      <c r="I150" s="42"/>
      <c r="J150" s="42"/>
      <c r="K150" s="84"/>
      <c r="L150" s="45"/>
      <c r="M150" s="50"/>
      <c r="N150" s="42"/>
      <c r="O150" s="42"/>
      <c r="P150" s="42"/>
      <c r="Q150" s="42"/>
      <c r="R150" s="42"/>
      <c r="S150" s="42"/>
      <c r="T150" s="42"/>
      <c r="U150" s="67"/>
      <c r="V150" s="220"/>
      <c r="W150" s="48"/>
      <c r="X150" s="49"/>
      <c r="Y150" s="43"/>
      <c r="Z150" s="49"/>
      <c r="AA150" s="43"/>
      <c r="AB150" s="43"/>
      <c r="AC150" s="49"/>
      <c r="AE150" s="43"/>
      <c r="AF150" s="69"/>
      <c r="AI150" s="46"/>
      <c r="AJ150" s="138"/>
      <c r="AK150" s="138"/>
      <c r="AL150" s="138"/>
      <c r="AM150" s="42"/>
      <c r="AO150" s="42"/>
      <c r="AQ150" s="43"/>
      <c r="AR150" s="43"/>
      <c r="AS150" s="44"/>
      <c r="AT150" s="44"/>
      <c r="AU150" s="44"/>
      <c r="AW150" s="42"/>
      <c r="AX150" s="42"/>
      <c r="AY150" s="45"/>
      <c r="AZ150" s="47"/>
      <c r="BG150" s="43"/>
      <c r="BI150" s="43"/>
      <c r="BJ150" s="43"/>
      <c r="BK150" s="43"/>
      <c r="BL150" s="43"/>
      <c r="BM150" s="43"/>
      <c r="BO150" s="43"/>
      <c r="BR150" s="43"/>
      <c r="BS150" s="43"/>
      <c r="BW150" s="43"/>
      <c r="CC150" s="43"/>
      <c r="CE150" s="43"/>
      <c r="CF150" s="43"/>
      <c r="CH150" s="43"/>
      <c r="CK150" s="43"/>
    </row>
    <row r="151" spans="2:89" x14ac:dyDescent="0.25">
      <c r="B151" s="89"/>
      <c r="C151" s="123"/>
      <c r="D151" s="47"/>
      <c r="E151" s="40"/>
      <c r="F151" s="43"/>
      <c r="G151" s="43"/>
      <c r="H151" s="41"/>
      <c r="I151" s="42"/>
      <c r="J151" s="42"/>
      <c r="K151" s="84"/>
      <c r="L151" s="45"/>
      <c r="M151" s="50"/>
      <c r="N151" s="42"/>
      <c r="O151" s="42"/>
      <c r="P151" s="42"/>
      <c r="Q151" s="42"/>
      <c r="R151" s="42"/>
      <c r="S151" s="42"/>
      <c r="T151" s="42"/>
      <c r="U151" s="67"/>
      <c r="V151" s="220"/>
      <c r="W151" s="48"/>
      <c r="X151" s="49"/>
      <c r="Y151" s="43"/>
      <c r="Z151" s="49"/>
      <c r="AA151" s="43"/>
      <c r="AB151" s="43"/>
      <c r="AC151" s="49"/>
      <c r="AE151" s="43"/>
      <c r="AF151" s="69"/>
      <c r="AI151" s="46"/>
      <c r="AJ151" s="138"/>
      <c r="AK151" s="138"/>
      <c r="AL151" s="138"/>
      <c r="AM151" s="42"/>
      <c r="AO151" s="42"/>
      <c r="AQ151" s="43"/>
      <c r="AR151" s="43"/>
      <c r="AS151" s="44"/>
      <c r="AT151" s="44"/>
      <c r="AU151" s="44"/>
      <c r="AW151" s="42"/>
      <c r="AX151" s="42"/>
      <c r="AY151" s="45"/>
      <c r="AZ151" s="47"/>
      <c r="BG151" s="43"/>
      <c r="BI151" s="43"/>
      <c r="BJ151" s="43"/>
      <c r="BK151" s="43"/>
      <c r="BL151" s="43"/>
      <c r="BM151" s="43"/>
      <c r="BO151" s="43"/>
      <c r="BR151" s="43"/>
      <c r="BS151" s="43"/>
      <c r="BW151" s="43"/>
      <c r="CC151" s="43"/>
      <c r="CE151" s="43"/>
      <c r="CF151" s="43"/>
      <c r="CH151" s="43"/>
      <c r="CK151" s="43"/>
    </row>
    <row r="152" spans="2:89" x14ac:dyDescent="0.25">
      <c r="B152" s="89"/>
      <c r="C152" s="123"/>
      <c r="D152" s="47"/>
      <c r="E152" s="40"/>
      <c r="F152" s="43"/>
      <c r="G152" s="43"/>
      <c r="H152" s="41"/>
      <c r="I152" s="42"/>
      <c r="J152" s="42"/>
      <c r="K152" s="84"/>
      <c r="L152" s="45"/>
      <c r="M152" s="50"/>
      <c r="N152" s="42"/>
      <c r="O152" s="42"/>
      <c r="P152" s="42"/>
      <c r="Q152" s="42"/>
      <c r="R152" s="42"/>
      <c r="S152" s="42"/>
      <c r="T152" s="42"/>
      <c r="U152" s="67"/>
      <c r="V152" s="220"/>
      <c r="W152" s="48"/>
      <c r="X152" s="49"/>
      <c r="Y152" s="43"/>
      <c r="Z152" s="49"/>
      <c r="AA152" s="43"/>
      <c r="AB152" s="43"/>
      <c r="AC152" s="49"/>
      <c r="AE152" s="43"/>
      <c r="AF152" s="69"/>
      <c r="AI152" s="46"/>
      <c r="AJ152" s="138"/>
      <c r="AK152" s="138"/>
      <c r="AL152" s="138"/>
      <c r="AM152" s="42"/>
      <c r="AO152" s="42"/>
      <c r="AQ152" s="43"/>
      <c r="AR152" s="43"/>
      <c r="AS152" s="44"/>
      <c r="AT152" s="44"/>
      <c r="AU152" s="44"/>
      <c r="AW152" s="42"/>
      <c r="AX152" s="42"/>
      <c r="AY152" s="45"/>
      <c r="AZ152" s="47"/>
      <c r="BG152" s="43"/>
      <c r="BI152" s="43"/>
      <c r="BJ152" s="43"/>
      <c r="BK152" s="43"/>
      <c r="BL152" s="43"/>
      <c r="BM152" s="43"/>
      <c r="BO152" s="43"/>
      <c r="BR152" s="43"/>
      <c r="BS152" s="43"/>
      <c r="BW152" s="43"/>
      <c r="CC152" s="43"/>
      <c r="CE152" s="43"/>
      <c r="CF152" s="43"/>
      <c r="CH152" s="43"/>
      <c r="CK152" s="43"/>
    </row>
    <row r="153" spans="2:89" x14ac:dyDescent="0.25">
      <c r="B153" s="89"/>
      <c r="C153" s="123"/>
      <c r="D153" s="47"/>
      <c r="E153" s="40"/>
      <c r="F153" s="43"/>
      <c r="G153" s="43"/>
      <c r="H153" s="41"/>
      <c r="I153" s="42"/>
      <c r="J153" s="42"/>
      <c r="K153" s="84"/>
      <c r="L153" s="45"/>
      <c r="M153" s="50"/>
      <c r="N153" s="42"/>
      <c r="O153" s="42"/>
      <c r="P153" s="42"/>
      <c r="Q153" s="42"/>
      <c r="R153" s="42"/>
      <c r="S153" s="42"/>
      <c r="T153" s="42"/>
      <c r="U153" s="67"/>
      <c r="V153" s="220"/>
      <c r="W153" s="48"/>
      <c r="X153" s="49"/>
      <c r="Y153" s="43"/>
      <c r="Z153" s="49"/>
      <c r="AA153" s="43"/>
      <c r="AB153" s="43"/>
      <c r="AC153" s="49"/>
      <c r="AE153" s="43"/>
      <c r="AF153" s="69"/>
      <c r="AI153" s="46"/>
      <c r="AJ153" s="138"/>
      <c r="AK153" s="138"/>
      <c r="AL153" s="138"/>
      <c r="AM153" s="42"/>
      <c r="AO153" s="42"/>
      <c r="AQ153" s="43"/>
      <c r="AR153" s="43"/>
      <c r="AS153" s="44"/>
      <c r="AT153" s="44"/>
      <c r="AU153" s="44"/>
      <c r="AW153" s="42"/>
      <c r="AX153" s="42"/>
      <c r="AY153" s="45"/>
      <c r="AZ153" s="47"/>
      <c r="BG153" s="43"/>
      <c r="BI153" s="43"/>
      <c r="BJ153" s="43"/>
      <c r="BK153" s="43"/>
      <c r="BL153" s="43"/>
      <c r="BM153" s="43"/>
      <c r="BO153" s="43"/>
      <c r="BR153" s="43"/>
      <c r="BS153" s="43"/>
      <c r="BW153" s="43"/>
      <c r="CC153" s="43"/>
      <c r="CE153" s="43"/>
      <c r="CF153" s="43"/>
      <c r="CH153" s="43"/>
      <c r="CK153" s="43"/>
    </row>
    <row r="154" spans="2:89" x14ac:dyDescent="0.25">
      <c r="B154" s="89"/>
      <c r="C154" s="123"/>
      <c r="D154" s="47"/>
      <c r="E154" s="40"/>
      <c r="F154" s="43"/>
      <c r="G154" s="43"/>
      <c r="H154" s="41"/>
      <c r="I154" s="42"/>
      <c r="J154" s="42"/>
      <c r="K154" s="84"/>
      <c r="L154" s="45"/>
      <c r="M154" s="50"/>
      <c r="N154" s="42"/>
      <c r="O154" s="42"/>
      <c r="P154" s="42"/>
      <c r="Q154" s="42"/>
      <c r="R154" s="42"/>
      <c r="S154" s="42"/>
      <c r="T154" s="42"/>
      <c r="U154" s="67"/>
      <c r="V154" s="220"/>
      <c r="W154" s="48"/>
      <c r="X154" s="49"/>
      <c r="Y154" s="43"/>
      <c r="Z154" s="49"/>
      <c r="AA154" s="43"/>
      <c r="AB154" s="43"/>
      <c r="AC154" s="49"/>
      <c r="AE154" s="43"/>
      <c r="AF154" s="69"/>
      <c r="AI154" s="46"/>
      <c r="AJ154" s="138"/>
      <c r="AK154" s="138"/>
      <c r="AL154" s="138"/>
      <c r="AM154" s="42"/>
      <c r="AO154" s="42"/>
      <c r="AQ154" s="43"/>
      <c r="AR154" s="43"/>
      <c r="AS154" s="44"/>
      <c r="AT154" s="44"/>
      <c r="AU154" s="44"/>
      <c r="AW154" s="42"/>
      <c r="AX154" s="42"/>
      <c r="AY154" s="45"/>
      <c r="AZ154" s="47"/>
      <c r="BG154" s="43"/>
      <c r="BI154" s="43"/>
      <c r="BJ154" s="43"/>
      <c r="BK154" s="43"/>
      <c r="BL154" s="43"/>
      <c r="BM154" s="43"/>
      <c r="BO154" s="43"/>
      <c r="BR154" s="43"/>
      <c r="BS154" s="43"/>
      <c r="BW154" s="43"/>
      <c r="CC154" s="43"/>
      <c r="CE154" s="43"/>
      <c r="CF154" s="43"/>
      <c r="CH154" s="43"/>
      <c r="CK154" s="43"/>
    </row>
    <row r="155" spans="2:89" x14ac:dyDescent="0.25">
      <c r="B155" s="89"/>
      <c r="C155" s="123"/>
      <c r="D155" s="47"/>
      <c r="E155" s="40"/>
      <c r="F155" s="43"/>
      <c r="G155" s="43"/>
      <c r="H155" s="41"/>
      <c r="I155" s="42"/>
      <c r="J155" s="42"/>
      <c r="K155" s="84"/>
      <c r="L155" s="45"/>
      <c r="M155" s="50"/>
      <c r="N155" s="42"/>
      <c r="O155" s="42"/>
      <c r="P155" s="42"/>
      <c r="Q155" s="42"/>
      <c r="R155" s="42"/>
      <c r="S155" s="42"/>
      <c r="T155" s="42"/>
      <c r="U155" s="67"/>
      <c r="V155" s="220"/>
      <c r="W155" s="48"/>
      <c r="X155" s="49"/>
      <c r="Y155" s="43"/>
      <c r="Z155" s="49"/>
      <c r="AA155" s="43"/>
      <c r="AB155" s="43"/>
      <c r="AC155" s="49"/>
      <c r="AE155" s="43"/>
      <c r="AF155" s="69"/>
      <c r="AI155" s="46"/>
      <c r="AJ155" s="138"/>
      <c r="AK155" s="138"/>
      <c r="AL155" s="138"/>
      <c r="AM155" s="42"/>
      <c r="AO155" s="42"/>
      <c r="AQ155" s="43"/>
      <c r="AR155" s="43"/>
      <c r="AS155" s="44"/>
      <c r="AT155" s="44"/>
      <c r="AU155" s="44"/>
      <c r="AW155" s="42"/>
      <c r="AX155" s="42"/>
      <c r="AY155" s="45"/>
      <c r="AZ155" s="47"/>
      <c r="BG155" s="43"/>
      <c r="BI155" s="43"/>
      <c r="BJ155" s="43"/>
      <c r="BK155" s="43"/>
      <c r="BL155" s="43"/>
      <c r="BM155" s="43"/>
      <c r="BO155" s="43"/>
      <c r="BR155" s="43"/>
      <c r="BS155" s="43"/>
      <c r="BW155" s="43"/>
      <c r="CC155" s="43"/>
      <c r="CE155" s="43"/>
      <c r="CF155" s="43"/>
      <c r="CH155" s="43"/>
      <c r="CK155" s="43"/>
    </row>
    <row r="156" spans="2:89" x14ac:dyDescent="0.25">
      <c r="B156" s="89"/>
      <c r="C156" s="123"/>
      <c r="D156" s="47"/>
      <c r="E156" s="40"/>
      <c r="F156" s="43"/>
      <c r="G156" s="43"/>
      <c r="H156" s="41"/>
      <c r="I156" s="42"/>
      <c r="J156" s="42"/>
      <c r="K156" s="84"/>
      <c r="L156" s="45"/>
      <c r="M156" s="50"/>
      <c r="N156" s="42"/>
      <c r="O156" s="42"/>
      <c r="P156" s="42"/>
      <c r="Q156" s="42"/>
      <c r="R156" s="42"/>
      <c r="S156" s="42"/>
      <c r="T156" s="42"/>
      <c r="U156" s="67"/>
      <c r="V156" s="220"/>
      <c r="W156" s="48"/>
      <c r="X156" s="49"/>
      <c r="Y156" s="43"/>
      <c r="Z156" s="49"/>
      <c r="AA156" s="43"/>
      <c r="AB156" s="43"/>
      <c r="AC156" s="49"/>
      <c r="AE156" s="43"/>
      <c r="AF156" s="69"/>
      <c r="AI156" s="46"/>
      <c r="AJ156" s="138"/>
      <c r="AK156" s="138"/>
      <c r="AL156" s="138"/>
      <c r="AM156" s="42"/>
      <c r="AO156" s="42"/>
      <c r="AQ156" s="43"/>
      <c r="AR156" s="43"/>
      <c r="AS156" s="44"/>
      <c r="AT156" s="44"/>
      <c r="AU156" s="44"/>
      <c r="AW156" s="42"/>
      <c r="AX156" s="42"/>
      <c r="AY156" s="45"/>
      <c r="AZ156" s="47"/>
      <c r="BG156" s="43"/>
      <c r="BI156" s="43"/>
      <c r="BJ156" s="43"/>
      <c r="BK156" s="43"/>
      <c r="BL156" s="43"/>
      <c r="BM156" s="43"/>
      <c r="BO156" s="43"/>
      <c r="BR156" s="43"/>
      <c r="BS156" s="43"/>
      <c r="BW156" s="43"/>
      <c r="CC156" s="43"/>
      <c r="CE156" s="43"/>
      <c r="CF156" s="43"/>
      <c r="CH156" s="43"/>
      <c r="CK156" s="43"/>
    </row>
    <row r="157" spans="2:89" x14ac:dyDescent="0.25">
      <c r="B157" s="89"/>
      <c r="C157" s="123"/>
      <c r="D157" s="47"/>
      <c r="E157" s="40"/>
      <c r="F157" s="43"/>
      <c r="G157" s="43"/>
      <c r="H157" s="41"/>
      <c r="I157" s="42"/>
      <c r="J157" s="42"/>
      <c r="K157" s="84"/>
      <c r="L157" s="45"/>
      <c r="M157" s="50"/>
      <c r="N157" s="42"/>
      <c r="O157" s="42"/>
      <c r="P157" s="42"/>
      <c r="Q157" s="42"/>
      <c r="R157" s="42"/>
      <c r="S157" s="42"/>
      <c r="T157" s="42"/>
      <c r="U157" s="67"/>
      <c r="V157" s="220"/>
      <c r="W157" s="48"/>
      <c r="X157" s="49"/>
      <c r="Y157" s="43"/>
      <c r="Z157" s="49"/>
      <c r="AA157" s="43"/>
      <c r="AB157" s="43"/>
      <c r="AC157" s="49"/>
      <c r="AE157" s="43"/>
      <c r="AF157" s="69"/>
      <c r="AI157" s="46"/>
      <c r="AJ157" s="138"/>
      <c r="AK157" s="138"/>
      <c r="AL157" s="138"/>
      <c r="AM157" s="42"/>
      <c r="AO157" s="42"/>
      <c r="AQ157" s="43"/>
      <c r="AR157" s="43"/>
      <c r="AS157" s="44"/>
      <c r="AT157" s="44"/>
      <c r="AU157" s="44"/>
      <c r="AW157" s="42"/>
      <c r="AX157" s="42"/>
      <c r="AY157" s="45"/>
      <c r="AZ157" s="47"/>
      <c r="BG157" s="43"/>
      <c r="BI157" s="43"/>
      <c r="BJ157" s="43"/>
      <c r="BK157" s="43"/>
      <c r="BL157" s="43"/>
      <c r="BM157" s="43"/>
      <c r="BO157" s="43"/>
      <c r="BR157" s="43"/>
      <c r="BS157" s="43"/>
      <c r="BW157" s="43"/>
      <c r="CC157" s="43"/>
      <c r="CE157" s="43"/>
      <c r="CF157" s="43"/>
      <c r="CH157" s="43"/>
      <c r="CK157" s="43"/>
    </row>
    <row r="158" spans="2:89" x14ac:dyDescent="0.25">
      <c r="B158" s="89"/>
      <c r="C158" s="123"/>
      <c r="D158" s="47"/>
      <c r="E158" s="40"/>
      <c r="F158" s="43"/>
      <c r="G158" s="43"/>
      <c r="H158" s="41"/>
      <c r="I158" s="42"/>
      <c r="J158" s="42"/>
      <c r="K158" s="84"/>
      <c r="L158" s="45"/>
      <c r="M158" s="50"/>
      <c r="N158" s="42"/>
      <c r="O158" s="42"/>
      <c r="P158" s="42"/>
      <c r="Q158" s="42"/>
      <c r="R158" s="42"/>
      <c r="S158" s="42"/>
      <c r="T158" s="42"/>
      <c r="U158" s="67"/>
      <c r="V158" s="220"/>
      <c r="W158" s="48"/>
      <c r="X158" s="49"/>
      <c r="Y158" s="43"/>
      <c r="Z158" s="49"/>
      <c r="AA158" s="43"/>
      <c r="AB158" s="43"/>
      <c r="AC158" s="49"/>
      <c r="AE158" s="43"/>
      <c r="AF158" s="69"/>
      <c r="AI158" s="46"/>
      <c r="AJ158" s="138"/>
      <c r="AK158" s="138"/>
      <c r="AL158" s="138"/>
      <c r="AM158" s="42"/>
      <c r="AO158" s="42"/>
      <c r="AQ158" s="43"/>
      <c r="AR158" s="43"/>
      <c r="AS158" s="44"/>
      <c r="AT158" s="44"/>
      <c r="AU158" s="44"/>
      <c r="AW158" s="42"/>
      <c r="AX158" s="42"/>
      <c r="AY158" s="45"/>
      <c r="AZ158" s="47"/>
      <c r="BG158" s="43"/>
      <c r="BI158" s="43"/>
      <c r="BJ158" s="43"/>
      <c r="BK158" s="43"/>
      <c r="BL158" s="43"/>
      <c r="BM158" s="43"/>
      <c r="BO158" s="43"/>
      <c r="BR158" s="43"/>
      <c r="BS158" s="43"/>
      <c r="BW158" s="43"/>
      <c r="CC158" s="43"/>
      <c r="CE158" s="43"/>
      <c r="CF158" s="43"/>
      <c r="CH158" s="43"/>
      <c r="CK158" s="43"/>
    </row>
    <row r="159" spans="2:89" x14ac:dyDescent="0.25">
      <c r="B159" s="89"/>
      <c r="C159" s="123"/>
      <c r="D159" s="47"/>
      <c r="E159" s="40"/>
      <c r="F159" s="43"/>
      <c r="G159" s="43"/>
      <c r="H159" s="41"/>
      <c r="I159" s="42"/>
      <c r="J159" s="42"/>
      <c r="K159" s="84"/>
      <c r="L159" s="45"/>
      <c r="M159" s="50"/>
      <c r="N159" s="42"/>
      <c r="O159" s="42"/>
      <c r="P159" s="42"/>
      <c r="Q159" s="42"/>
      <c r="R159" s="42"/>
      <c r="S159" s="42"/>
      <c r="T159" s="42"/>
      <c r="U159" s="67"/>
      <c r="V159" s="220"/>
      <c r="W159" s="48"/>
      <c r="X159" s="49"/>
      <c r="Y159" s="43"/>
      <c r="Z159" s="49"/>
      <c r="AA159" s="43"/>
      <c r="AB159" s="43"/>
      <c r="AC159" s="49"/>
      <c r="AE159" s="43"/>
      <c r="AF159" s="69"/>
      <c r="AI159" s="46"/>
      <c r="AJ159" s="138"/>
      <c r="AK159" s="138"/>
      <c r="AL159" s="138"/>
      <c r="AM159" s="42"/>
      <c r="AO159" s="42"/>
      <c r="AQ159" s="43"/>
      <c r="AR159" s="43"/>
      <c r="AS159" s="44"/>
      <c r="AT159" s="44"/>
      <c r="AU159" s="44"/>
      <c r="AW159" s="42"/>
      <c r="AX159" s="42"/>
      <c r="AY159" s="45"/>
      <c r="AZ159" s="47"/>
      <c r="BG159" s="43"/>
      <c r="BI159" s="43"/>
      <c r="BJ159" s="43"/>
      <c r="BK159" s="43"/>
      <c r="BL159" s="43"/>
      <c r="BM159" s="43"/>
      <c r="BO159" s="43"/>
      <c r="BR159" s="43"/>
      <c r="BS159" s="43"/>
      <c r="BW159" s="43"/>
      <c r="CC159" s="43"/>
      <c r="CE159" s="43"/>
      <c r="CF159" s="43"/>
      <c r="CH159" s="43"/>
      <c r="CK159" s="43"/>
    </row>
    <row r="160" spans="2:89" x14ac:dyDescent="0.25">
      <c r="B160" s="89"/>
      <c r="C160" s="123"/>
      <c r="D160" s="47"/>
      <c r="E160" s="40"/>
      <c r="F160" s="43"/>
      <c r="G160" s="43"/>
      <c r="H160" s="41"/>
      <c r="I160" s="42"/>
      <c r="J160" s="42"/>
      <c r="K160" s="84"/>
      <c r="L160" s="45"/>
      <c r="M160" s="50"/>
      <c r="N160" s="42"/>
      <c r="O160" s="42"/>
      <c r="P160" s="42"/>
      <c r="Q160" s="42"/>
      <c r="R160" s="42"/>
      <c r="S160" s="42"/>
      <c r="T160" s="42"/>
      <c r="U160" s="67"/>
      <c r="V160" s="220"/>
      <c r="W160" s="48"/>
      <c r="X160" s="49"/>
      <c r="Y160" s="43"/>
      <c r="Z160" s="49"/>
      <c r="AA160" s="43"/>
      <c r="AB160" s="43"/>
      <c r="AC160" s="49"/>
      <c r="AE160" s="43"/>
      <c r="AF160" s="69"/>
      <c r="AI160" s="46"/>
      <c r="AJ160" s="138"/>
      <c r="AK160" s="138"/>
      <c r="AL160" s="138"/>
      <c r="AM160" s="42"/>
      <c r="AO160" s="42"/>
      <c r="AQ160" s="43"/>
      <c r="AR160" s="43"/>
      <c r="AS160" s="44"/>
      <c r="AT160" s="44"/>
      <c r="AU160" s="44"/>
      <c r="AW160" s="42"/>
      <c r="AX160" s="42"/>
      <c r="AY160" s="45"/>
      <c r="AZ160" s="47"/>
      <c r="BG160" s="43"/>
      <c r="BI160" s="43"/>
      <c r="BJ160" s="43"/>
      <c r="BK160" s="43"/>
      <c r="BL160" s="43"/>
      <c r="BM160" s="43"/>
      <c r="BO160" s="43"/>
      <c r="BR160" s="43"/>
      <c r="BS160" s="43"/>
      <c r="BW160" s="43"/>
      <c r="CC160" s="43"/>
      <c r="CE160" s="43"/>
      <c r="CF160" s="43"/>
      <c r="CH160" s="43"/>
      <c r="CK160" s="43"/>
    </row>
    <row r="161" spans="2:89" x14ac:dyDescent="0.25">
      <c r="B161" s="89"/>
      <c r="C161" s="123"/>
      <c r="D161" s="47"/>
      <c r="E161" s="40"/>
      <c r="F161" s="43"/>
      <c r="G161" s="43"/>
      <c r="H161" s="41"/>
      <c r="I161" s="42"/>
      <c r="J161" s="42"/>
      <c r="K161" s="84"/>
      <c r="L161" s="45"/>
      <c r="M161" s="50"/>
      <c r="N161" s="42"/>
      <c r="O161" s="42"/>
      <c r="P161" s="42"/>
      <c r="Q161" s="42"/>
      <c r="R161" s="42"/>
      <c r="S161" s="42"/>
      <c r="T161" s="42"/>
      <c r="U161" s="67"/>
      <c r="V161" s="220"/>
      <c r="W161" s="48"/>
      <c r="X161" s="49"/>
      <c r="Y161" s="43"/>
      <c r="Z161" s="49"/>
      <c r="AA161" s="43"/>
      <c r="AB161" s="43"/>
      <c r="AC161" s="49"/>
      <c r="AE161" s="43"/>
      <c r="AF161" s="69"/>
      <c r="AI161" s="46"/>
      <c r="AJ161" s="138"/>
      <c r="AK161" s="138"/>
      <c r="AL161" s="138"/>
      <c r="AM161" s="42"/>
      <c r="AO161" s="42"/>
      <c r="AQ161" s="43"/>
      <c r="AR161" s="43"/>
      <c r="AS161" s="44"/>
      <c r="AT161" s="44"/>
      <c r="AU161" s="44"/>
      <c r="AW161" s="42"/>
      <c r="AX161" s="42"/>
      <c r="AY161" s="45"/>
      <c r="AZ161" s="47"/>
      <c r="BG161" s="43"/>
      <c r="BI161" s="43"/>
      <c r="BJ161" s="43"/>
      <c r="BK161" s="43"/>
      <c r="BL161" s="43"/>
      <c r="BM161" s="43"/>
      <c r="BO161" s="43"/>
      <c r="BR161" s="43"/>
      <c r="BS161" s="43"/>
      <c r="BW161" s="43"/>
      <c r="CC161" s="43"/>
      <c r="CE161" s="43"/>
      <c r="CF161" s="43"/>
      <c r="CH161" s="43"/>
      <c r="CK161" s="43"/>
    </row>
    <row r="162" spans="2:89" x14ac:dyDescent="0.25">
      <c r="B162" s="89"/>
      <c r="C162" s="123"/>
      <c r="D162" s="47"/>
      <c r="E162" s="40"/>
      <c r="F162" s="43"/>
      <c r="G162" s="43"/>
      <c r="H162" s="41"/>
      <c r="I162" s="42"/>
      <c r="J162" s="42"/>
      <c r="K162" s="84"/>
      <c r="L162" s="45"/>
      <c r="M162" s="50"/>
      <c r="N162" s="42"/>
      <c r="O162" s="42"/>
      <c r="P162" s="42"/>
      <c r="Q162" s="42"/>
      <c r="R162" s="42"/>
      <c r="S162" s="42"/>
      <c r="T162" s="42"/>
      <c r="U162" s="67"/>
      <c r="V162" s="220"/>
      <c r="W162" s="48"/>
      <c r="X162" s="49"/>
      <c r="Y162" s="43"/>
      <c r="Z162" s="49"/>
      <c r="AA162" s="43"/>
      <c r="AB162" s="43"/>
      <c r="AC162" s="49"/>
      <c r="AE162" s="43"/>
      <c r="AF162" s="69"/>
      <c r="AI162" s="46"/>
      <c r="AJ162" s="138"/>
      <c r="AK162" s="138"/>
      <c r="AL162" s="138"/>
      <c r="AM162" s="42"/>
      <c r="AO162" s="42"/>
      <c r="AQ162" s="43"/>
      <c r="AR162" s="43"/>
      <c r="AS162" s="44"/>
      <c r="AT162" s="44"/>
      <c r="AU162" s="44"/>
      <c r="AW162" s="42"/>
      <c r="AX162" s="42"/>
      <c r="AY162" s="45"/>
      <c r="AZ162" s="47"/>
      <c r="BG162" s="43"/>
      <c r="BI162" s="43"/>
      <c r="BJ162" s="43"/>
      <c r="BK162" s="43"/>
      <c r="BL162" s="43"/>
      <c r="BM162" s="43"/>
      <c r="BO162" s="43"/>
      <c r="BR162" s="43"/>
      <c r="BS162" s="43"/>
      <c r="BW162" s="43"/>
      <c r="CC162" s="43"/>
      <c r="CE162" s="43"/>
      <c r="CF162" s="43"/>
      <c r="CH162" s="43"/>
      <c r="CK162" s="43"/>
    </row>
    <row r="163" spans="2:89" x14ac:dyDescent="0.25">
      <c r="B163" s="89"/>
      <c r="C163" s="123"/>
      <c r="D163" s="47"/>
      <c r="E163" s="40"/>
      <c r="F163" s="43"/>
      <c r="G163" s="43"/>
      <c r="H163" s="41"/>
      <c r="I163" s="42"/>
      <c r="J163" s="42"/>
      <c r="K163" s="84"/>
      <c r="L163" s="45"/>
      <c r="M163" s="50"/>
      <c r="N163" s="42"/>
      <c r="O163" s="42"/>
      <c r="P163" s="42"/>
      <c r="Q163" s="42"/>
      <c r="R163" s="42"/>
      <c r="S163" s="42"/>
      <c r="T163" s="42"/>
      <c r="U163" s="67"/>
      <c r="V163" s="220"/>
      <c r="W163" s="48"/>
      <c r="X163" s="49"/>
      <c r="Y163" s="43"/>
      <c r="Z163" s="49"/>
      <c r="AA163" s="43"/>
      <c r="AB163" s="43"/>
      <c r="AC163" s="49"/>
      <c r="AE163" s="43"/>
      <c r="AF163" s="69"/>
      <c r="AI163" s="46"/>
      <c r="AJ163" s="138"/>
      <c r="AK163" s="138"/>
      <c r="AL163" s="138"/>
      <c r="AM163" s="42"/>
      <c r="AO163" s="42"/>
      <c r="AQ163" s="43"/>
      <c r="AR163" s="43"/>
      <c r="AS163" s="44"/>
      <c r="AT163" s="44"/>
      <c r="AU163" s="44"/>
      <c r="AW163" s="42"/>
      <c r="AX163" s="42"/>
      <c r="AY163" s="45"/>
      <c r="AZ163" s="47"/>
      <c r="BG163" s="43"/>
      <c r="BI163" s="43"/>
      <c r="BJ163" s="43"/>
      <c r="BK163" s="43"/>
      <c r="BL163" s="43"/>
      <c r="BM163" s="43"/>
      <c r="BO163" s="43"/>
      <c r="BR163" s="43"/>
      <c r="BS163" s="43"/>
      <c r="BW163" s="43"/>
      <c r="CC163" s="43"/>
      <c r="CE163" s="43"/>
      <c r="CF163" s="43"/>
      <c r="CH163" s="43"/>
      <c r="CK163" s="43"/>
    </row>
    <row r="164" spans="2:89" x14ac:dyDescent="0.25">
      <c r="B164" s="89"/>
      <c r="C164" s="123"/>
      <c r="D164" s="47"/>
      <c r="E164" s="40"/>
      <c r="F164" s="43"/>
      <c r="G164" s="43"/>
      <c r="H164" s="41"/>
      <c r="I164" s="42"/>
      <c r="J164" s="42"/>
      <c r="K164" s="84"/>
      <c r="L164" s="45"/>
      <c r="M164" s="50"/>
      <c r="N164" s="42"/>
      <c r="O164" s="42"/>
      <c r="P164" s="42"/>
      <c r="Q164" s="42"/>
      <c r="R164" s="42"/>
      <c r="S164" s="42"/>
      <c r="T164" s="42"/>
      <c r="U164" s="145"/>
      <c r="V164" s="220"/>
      <c r="W164" s="48"/>
      <c r="X164" s="49"/>
      <c r="Y164" s="43"/>
      <c r="Z164" s="49"/>
      <c r="AA164" s="43"/>
      <c r="AB164" s="43"/>
      <c r="AC164" s="49"/>
      <c r="AE164" s="43"/>
      <c r="AF164" s="69"/>
      <c r="AI164" s="46"/>
      <c r="AJ164" s="138"/>
      <c r="AK164" s="138"/>
      <c r="AL164" s="138"/>
      <c r="AM164" s="42"/>
      <c r="AO164" s="42"/>
      <c r="AQ164" s="43"/>
      <c r="AR164" s="43"/>
      <c r="AS164" s="44"/>
      <c r="AT164" s="44"/>
      <c r="AU164" s="44"/>
      <c r="AW164" s="42"/>
      <c r="AX164" s="42"/>
      <c r="AY164" s="45"/>
      <c r="AZ164" s="47"/>
      <c r="BG164" s="43"/>
      <c r="BI164" s="43"/>
      <c r="BJ164" s="43"/>
      <c r="BK164" s="43"/>
      <c r="BL164" s="43"/>
      <c r="BM164" s="43"/>
      <c r="BO164" s="43"/>
      <c r="BR164" s="43"/>
      <c r="BS164" s="43"/>
      <c r="BW164" s="43"/>
      <c r="CC164" s="43"/>
      <c r="CE164" s="43"/>
      <c r="CF164" s="43"/>
      <c r="CH164" s="43"/>
      <c r="CK164" s="43"/>
    </row>
    <row r="165" spans="2:89" ht="15.75" customHeight="1" x14ac:dyDescent="0.25">
      <c r="B165" s="89"/>
      <c r="C165" s="123"/>
      <c r="D165" s="47"/>
      <c r="E165" s="40"/>
      <c r="F165" s="43"/>
      <c r="G165" s="43"/>
      <c r="H165" s="41"/>
      <c r="I165" s="42"/>
      <c r="J165" s="42"/>
      <c r="K165" s="84"/>
      <c r="L165" s="45"/>
      <c r="M165" s="50"/>
      <c r="N165" s="42"/>
      <c r="O165" s="42"/>
      <c r="P165" s="42"/>
      <c r="Q165" s="42"/>
      <c r="R165" s="42"/>
      <c r="S165" s="42"/>
      <c r="T165" s="42"/>
      <c r="U165" s="67"/>
      <c r="V165" s="220"/>
      <c r="W165" s="48"/>
      <c r="X165" s="49"/>
      <c r="Y165" s="43"/>
      <c r="Z165" s="49"/>
      <c r="AA165" s="43"/>
      <c r="AB165" s="43"/>
      <c r="AC165" s="49"/>
      <c r="AE165" s="43"/>
      <c r="AF165" s="69"/>
      <c r="AI165" s="46"/>
      <c r="AJ165" s="138"/>
      <c r="AK165" s="138"/>
      <c r="AL165" s="138"/>
      <c r="AM165" s="42"/>
      <c r="AO165" s="42"/>
      <c r="AQ165" s="43"/>
      <c r="AR165" s="43"/>
      <c r="AS165" s="44"/>
      <c r="AT165" s="44"/>
      <c r="AU165" s="44"/>
      <c r="AW165" s="42"/>
      <c r="AX165" s="42"/>
      <c r="AY165" s="45"/>
      <c r="AZ165" s="47"/>
      <c r="BG165" s="43"/>
      <c r="BI165" s="43"/>
      <c r="BJ165" s="43"/>
      <c r="BK165" s="43"/>
      <c r="BL165" s="43"/>
      <c r="BM165" s="43"/>
      <c r="BO165" s="43"/>
      <c r="BR165" s="43"/>
      <c r="BS165" s="43"/>
      <c r="BW165" s="43"/>
      <c r="CC165" s="43"/>
      <c r="CE165" s="43"/>
      <c r="CF165" s="43"/>
      <c r="CH165" s="43"/>
      <c r="CK165" s="43"/>
    </row>
    <row r="166" spans="2:89" x14ac:dyDescent="0.25">
      <c r="B166" s="89"/>
      <c r="C166" s="123"/>
      <c r="D166" s="47"/>
      <c r="E166" s="40"/>
      <c r="F166" s="43"/>
      <c r="G166" s="43"/>
      <c r="H166" s="41"/>
      <c r="I166" s="42"/>
      <c r="J166" s="42"/>
      <c r="K166" s="84"/>
      <c r="L166" s="45"/>
      <c r="M166" s="50"/>
      <c r="N166" s="42"/>
      <c r="O166" s="42"/>
      <c r="P166" s="42"/>
      <c r="Q166" s="42"/>
      <c r="R166" s="42"/>
      <c r="S166" s="42"/>
      <c r="T166" s="42"/>
      <c r="U166" s="67"/>
      <c r="V166" s="220"/>
      <c r="W166" s="48"/>
      <c r="X166" s="49"/>
      <c r="Y166" s="43"/>
      <c r="Z166" s="49"/>
      <c r="AA166" s="43"/>
      <c r="AB166" s="43"/>
      <c r="AC166" s="49"/>
      <c r="AE166" s="43"/>
      <c r="AF166" s="69"/>
      <c r="AI166" s="46"/>
      <c r="AJ166" s="138"/>
      <c r="AK166" s="138"/>
      <c r="AL166" s="138"/>
      <c r="AM166" s="42"/>
      <c r="AO166" s="42"/>
      <c r="AQ166" s="43"/>
      <c r="AR166" s="43"/>
      <c r="AS166" s="44"/>
      <c r="AT166" s="44"/>
      <c r="AU166" s="44"/>
      <c r="AW166" s="42"/>
      <c r="AX166" s="42"/>
      <c r="AY166" s="45"/>
      <c r="AZ166" s="47"/>
      <c r="BG166" s="43"/>
      <c r="BI166" s="43"/>
      <c r="BJ166" s="43"/>
      <c r="BK166" s="43"/>
      <c r="BL166" s="43"/>
      <c r="BM166" s="43"/>
      <c r="BO166" s="43"/>
      <c r="BR166" s="43"/>
      <c r="BS166" s="43"/>
      <c r="BW166" s="43"/>
      <c r="CC166" s="43"/>
      <c r="CE166" s="43"/>
      <c r="CF166" s="43"/>
      <c r="CH166" s="43"/>
      <c r="CK166" s="43"/>
    </row>
    <row r="167" spans="2:89" x14ac:dyDescent="0.25">
      <c r="B167" s="89"/>
      <c r="C167" s="123"/>
      <c r="D167" s="47"/>
      <c r="E167" s="40"/>
      <c r="F167" s="43"/>
      <c r="G167" s="43"/>
      <c r="H167" s="41"/>
      <c r="I167" s="42"/>
      <c r="J167" s="42"/>
      <c r="K167" s="84"/>
      <c r="L167" s="45"/>
      <c r="M167" s="50"/>
      <c r="N167" s="42"/>
      <c r="O167" s="42"/>
      <c r="P167" s="42"/>
      <c r="Q167" s="42"/>
      <c r="R167" s="42"/>
      <c r="S167" s="42"/>
      <c r="T167" s="42"/>
      <c r="U167" s="67"/>
      <c r="V167" s="220"/>
      <c r="W167" s="48"/>
      <c r="X167" s="49"/>
      <c r="Y167" s="43"/>
      <c r="Z167" s="49"/>
      <c r="AA167" s="43"/>
      <c r="AB167" s="43"/>
      <c r="AC167" s="49"/>
      <c r="AE167" s="43"/>
      <c r="AF167" s="69"/>
      <c r="AI167" s="46"/>
      <c r="AJ167" s="138"/>
      <c r="AK167" s="138"/>
      <c r="AL167" s="138"/>
      <c r="AM167" s="42"/>
      <c r="AO167" s="42"/>
      <c r="AQ167" s="43"/>
      <c r="AR167" s="43"/>
      <c r="AS167" s="44"/>
      <c r="AT167" s="44"/>
      <c r="AU167" s="44"/>
      <c r="AW167" s="42"/>
      <c r="AX167" s="42"/>
      <c r="AY167" s="45"/>
      <c r="AZ167" s="47"/>
      <c r="BG167" s="43"/>
      <c r="BI167" s="43"/>
      <c r="BJ167" s="43"/>
      <c r="BK167" s="43"/>
      <c r="BL167" s="43"/>
      <c r="BM167" s="43"/>
      <c r="BO167" s="43"/>
      <c r="BR167" s="43"/>
      <c r="BS167" s="43"/>
      <c r="BW167" s="43"/>
      <c r="CC167" s="43"/>
      <c r="CE167" s="43"/>
      <c r="CF167" s="43"/>
      <c r="CH167" s="43"/>
      <c r="CK167" s="43"/>
    </row>
    <row r="168" spans="2:89" x14ac:dyDescent="0.25">
      <c r="B168" s="89"/>
      <c r="C168" s="123"/>
      <c r="D168" s="47"/>
      <c r="E168" s="40"/>
      <c r="F168" s="43"/>
      <c r="G168" s="43"/>
      <c r="H168" s="41"/>
      <c r="I168" s="42"/>
      <c r="J168" s="42"/>
      <c r="K168" s="84"/>
      <c r="L168" s="45"/>
      <c r="M168" s="50"/>
      <c r="N168" s="42"/>
      <c r="O168" s="42"/>
      <c r="P168" s="42"/>
      <c r="Q168" s="42"/>
      <c r="R168" s="42"/>
      <c r="S168" s="42"/>
      <c r="T168" s="42"/>
      <c r="U168" s="67"/>
      <c r="V168" s="220"/>
      <c r="W168" s="48"/>
      <c r="X168" s="49"/>
      <c r="Y168" s="43"/>
      <c r="Z168" s="49"/>
      <c r="AA168" s="43"/>
      <c r="AB168" s="43"/>
      <c r="AC168" s="49"/>
      <c r="AE168" s="43"/>
      <c r="AF168" s="69"/>
      <c r="AI168" s="46"/>
      <c r="AJ168" s="138"/>
      <c r="AK168" s="138"/>
      <c r="AL168" s="138"/>
      <c r="AM168" s="42"/>
      <c r="AO168" s="42"/>
      <c r="AQ168" s="43"/>
      <c r="AR168" s="43"/>
      <c r="AS168" s="44"/>
      <c r="AT168" s="44"/>
      <c r="AU168" s="44"/>
      <c r="AW168" s="42"/>
      <c r="AX168" s="42"/>
      <c r="AY168" s="45"/>
      <c r="AZ168" s="47"/>
      <c r="BG168" s="43"/>
      <c r="BI168" s="43"/>
      <c r="BJ168" s="43"/>
      <c r="BK168" s="43"/>
      <c r="BL168" s="43"/>
      <c r="BM168" s="43"/>
      <c r="BO168" s="43"/>
      <c r="BR168" s="43"/>
      <c r="BS168" s="43"/>
      <c r="BW168" s="43"/>
      <c r="CC168" s="43"/>
      <c r="CE168" s="43"/>
      <c r="CF168" s="43"/>
      <c r="CH168" s="43"/>
      <c r="CK168" s="43"/>
    </row>
    <row r="169" spans="2:89" x14ac:dyDescent="0.25">
      <c r="B169" s="89"/>
      <c r="C169" s="123"/>
      <c r="D169" s="47"/>
      <c r="E169" s="40"/>
      <c r="F169" s="43"/>
      <c r="G169" s="43"/>
      <c r="H169" s="41"/>
      <c r="I169" s="42"/>
      <c r="J169" s="42"/>
      <c r="K169" s="84"/>
      <c r="L169" s="45"/>
      <c r="M169" s="50"/>
      <c r="N169" s="42"/>
      <c r="O169" s="42"/>
      <c r="P169" s="42"/>
      <c r="Q169" s="42"/>
      <c r="R169" s="42"/>
      <c r="S169" s="42"/>
      <c r="T169" s="42"/>
      <c r="U169" s="67"/>
      <c r="V169" s="220"/>
      <c r="W169" s="48"/>
      <c r="X169" s="49"/>
      <c r="Y169" s="128"/>
      <c r="Z169" s="49"/>
      <c r="AA169" s="43"/>
      <c r="AB169" s="43"/>
      <c r="AC169" s="49"/>
      <c r="AE169" s="43"/>
      <c r="AF169" s="69"/>
      <c r="AI169" s="46"/>
      <c r="AJ169" s="138"/>
      <c r="AK169" s="138"/>
      <c r="AL169" s="138"/>
      <c r="AM169" s="42"/>
      <c r="AO169" s="42"/>
      <c r="AQ169" s="43"/>
      <c r="AR169" s="43"/>
      <c r="AS169" s="44"/>
      <c r="AT169" s="44"/>
      <c r="AU169" s="44"/>
      <c r="AW169" s="42"/>
      <c r="AX169" s="42"/>
      <c r="AY169" s="45"/>
      <c r="AZ169" s="47"/>
      <c r="BG169" s="43"/>
      <c r="BI169" s="43"/>
      <c r="BJ169" s="43"/>
      <c r="BK169" s="43"/>
      <c r="BL169" s="43"/>
      <c r="BM169" s="43"/>
      <c r="BO169" s="43"/>
      <c r="BR169" s="43"/>
      <c r="BS169" s="43"/>
      <c r="BW169" s="43"/>
      <c r="CC169" s="43"/>
      <c r="CE169" s="43"/>
      <c r="CF169" s="43"/>
      <c r="CH169" s="43"/>
      <c r="CK169" s="43"/>
    </row>
    <row r="170" spans="2:89" x14ac:dyDescent="0.25">
      <c r="B170" s="89"/>
      <c r="C170" s="123"/>
      <c r="D170" s="47"/>
      <c r="E170" s="40"/>
      <c r="F170" s="43"/>
      <c r="G170" s="43"/>
      <c r="H170" s="41"/>
      <c r="I170" s="42"/>
      <c r="J170" s="42"/>
      <c r="K170" s="84"/>
      <c r="L170" s="45"/>
      <c r="M170" s="50"/>
      <c r="N170" s="42"/>
      <c r="O170" s="42"/>
      <c r="P170" s="42"/>
      <c r="Q170" s="42"/>
      <c r="R170" s="42"/>
      <c r="S170" s="42"/>
      <c r="T170" s="42"/>
      <c r="U170" s="67"/>
      <c r="V170" s="220"/>
      <c r="W170" s="48"/>
      <c r="X170" s="49"/>
      <c r="Y170" s="43"/>
      <c r="Z170" s="49"/>
      <c r="AA170" s="43"/>
      <c r="AB170" s="43"/>
      <c r="AC170" s="49"/>
      <c r="AE170" s="43"/>
      <c r="AF170" s="69"/>
      <c r="AI170" s="46"/>
      <c r="AJ170" s="138"/>
      <c r="AK170" s="138"/>
      <c r="AL170" s="138"/>
      <c r="AM170" s="42"/>
      <c r="AO170" s="42"/>
      <c r="AQ170" s="43"/>
      <c r="AR170" s="43"/>
      <c r="AS170" s="44"/>
      <c r="AT170" s="44"/>
      <c r="AU170" s="44"/>
      <c r="AW170" s="42"/>
      <c r="AX170" s="42"/>
      <c r="AY170" s="45"/>
      <c r="AZ170" s="47"/>
      <c r="BG170" s="43"/>
      <c r="BI170" s="43"/>
      <c r="BJ170" s="43"/>
      <c r="BK170" s="43"/>
      <c r="BL170" s="43"/>
      <c r="BM170" s="43"/>
      <c r="BO170" s="43"/>
      <c r="BR170" s="43"/>
      <c r="BS170" s="43"/>
      <c r="BW170" s="43"/>
      <c r="CC170" s="43"/>
      <c r="CE170" s="43"/>
      <c r="CF170" s="43"/>
      <c r="CH170" s="43"/>
      <c r="CK170" s="43"/>
    </row>
    <row r="171" spans="2:89" x14ac:dyDescent="0.25">
      <c r="B171" s="89"/>
      <c r="C171" s="123"/>
      <c r="D171" s="47"/>
      <c r="E171" s="40"/>
      <c r="F171" s="43"/>
      <c r="G171" s="43"/>
      <c r="H171" s="41"/>
      <c r="I171" s="42"/>
      <c r="J171" s="42"/>
      <c r="K171" s="84"/>
      <c r="L171" s="45"/>
      <c r="M171" s="50"/>
      <c r="N171" s="42"/>
      <c r="O171" s="42"/>
      <c r="P171" s="223"/>
      <c r="Q171" s="42"/>
      <c r="R171" s="42"/>
      <c r="S171" s="42"/>
      <c r="T171" s="42"/>
      <c r="U171" s="67"/>
      <c r="V171" s="220"/>
      <c r="W171" s="48"/>
      <c r="X171" s="49"/>
      <c r="Y171" s="43"/>
      <c r="Z171" s="49"/>
      <c r="AA171" s="43"/>
      <c r="AB171" s="43"/>
      <c r="AC171" s="49"/>
      <c r="AE171" s="43"/>
      <c r="AF171" s="69"/>
      <c r="AI171" s="46"/>
      <c r="AJ171" s="138"/>
      <c r="AK171" s="138"/>
      <c r="AL171" s="138"/>
      <c r="AM171" s="42"/>
      <c r="AO171" s="42"/>
      <c r="AQ171" s="43"/>
      <c r="AR171" s="43"/>
      <c r="AS171" s="44"/>
      <c r="AT171" s="152"/>
      <c r="AU171" s="44"/>
      <c r="AW171" s="42"/>
      <c r="AX171" s="42"/>
      <c r="AY171" s="45"/>
      <c r="AZ171" s="47"/>
      <c r="BG171" s="43"/>
      <c r="BI171" s="43"/>
      <c r="BJ171" s="43"/>
      <c r="BK171" s="43"/>
      <c r="BL171" s="43"/>
      <c r="BM171" s="43"/>
      <c r="BO171" s="43"/>
      <c r="BR171" s="43"/>
      <c r="BS171" s="43"/>
      <c r="BW171" s="43"/>
      <c r="CC171" s="43"/>
      <c r="CE171" s="43"/>
      <c r="CF171" s="43"/>
      <c r="CH171" s="43"/>
      <c r="CK171" s="43"/>
    </row>
    <row r="172" spans="2:89" x14ac:dyDescent="0.25">
      <c r="B172" s="89"/>
      <c r="C172" s="123"/>
      <c r="D172" s="47"/>
      <c r="E172" s="40"/>
      <c r="F172" s="43"/>
      <c r="G172" s="43"/>
      <c r="H172" s="41"/>
      <c r="I172" s="42"/>
      <c r="J172" s="42"/>
      <c r="K172" s="84"/>
      <c r="L172" s="45"/>
      <c r="M172" s="43"/>
      <c r="N172" s="42"/>
      <c r="O172" s="42"/>
      <c r="P172" s="42"/>
      <c r="Q172" s="42"/>
      <c r="R172" s="42"/>
      <c r="S172" s="42"/>
      <c r="T172" s="42"/>
      <c r="U172" s="67"/>
      <c r="V172" s="220"/>
      <c r="W172" s="48"/>
      <c r="X172" s="49"/>
      <c r="Y172" s="43"/>
      <c r="Z172" s="49"/>
      <c r="AA172" s="43"/>
      <c r="AB172" s="43"/>
      <c r="AC172" s="49"/>
      <c r="AE172" s="43"/>
      <c r="AF172" s="69"/>
      <c r="AI172" s="46"/>
      <c r="AJ172" s="138"/>
      <c r="AK172" s="138"/>
      <c r="AL172" s="138"/>
      <c r="AM172" s="42"/>
      <c r="AO172" s="42"/>
      <c r="AQ172" s="43"/>
      <c r="AR172" s="43"/>
      <c r="AS172" s="44"/>
      <c r="AT172" s="44"/>
      <c r="AU172" s="44"/>
      <c r="AW172" s="42"/>
      <c r="AX172" s="42"/>
      <c r="AY172" s="45"/>
      <c r="AZ172" s="47"/>
      <c r="BG172" s="43"/>
      <c r="BI172" s="43"/>
      <c r="BJ172" s="43"/>
      <c r="BK172" s="43"/>
      <c r="BL172" s="43"/>
      <c r="BM172" s="43"/>
      <c r="BO172" s="43"/>
      <c r="BR172" s="43"/>
      <c r="BS172" s="43"/>
      <c r="BW172" s="43"/>
      <c r="CC172" s="43"/>
      <c r="CE172" s="43"/>
      <c r="CF172" s="43"/>
      <c r="CH172" s="43"/>
      <c r="CK172" s="43"/>
    </row>
    <row r="173" spans="2:89" x14ac:dyDescent="0.25">
      <c r="B173" s="89"/>
      <c r="C173" s="123"/>
      <c r="D173" s="47"/>
      <c r="E173" s="40"/>
      <c r="F173" s="43"/>
      <c r="G173" s="43"/>
      <c r="H173" s="41"/>
      <c r="I173" s="42"/>
      <c r="J173" s="42"/>
      <c r="K173" s="84"/>
      <c r="L173" s="45"/>
      <c r="M173" s="43"/>
      <c r="N173" s="42"/>
      <c r="O173" s="42"/>
      <c r="P173" s="229"/>
      <c r="Q173" s="42"/>
      <c r="R173" s="42"/>
      <c r="S173" s="42"/>
      <c r="T173" s="42"/>
      <c r="U173" s="67"/>
      <c r="V173" s="220"/>
      <c r="W173" s="48"/>
      <c r="X173" s="49"/>
      <c r="Y173" s="43"/>
      <c r="Z173" s="49"/>
      <c r="AA173" s="43"/>
      <c r="AB173" s="43"/>
      <c r="AC173" s="49"/>
      <c r="AE173" s="43"/>
      <c r="AF173" s="69"/>
      <c r="AI173" s="46"/>
      <c r="AJ173" s="138"/>
      <c r="AK173" s="138"/>
      <c r="AL173" s="138"/>
      <c r="AM173" s="42"/>
      <c r="AO173" s="42"/>
      <c r="AQ173" s="43"/>
      <c r="AR173" s="43"/>
      <c r="AS173" s="44"/>
      <c r="AT173" s="44"/>
      <c r="AU173" s="44"/>
      <c r="AW173" s="42"/>
      <c r="AX173" s="42"/>
      <c r="AY173" s="45"/>
      <c r="AZ173" s="47"/>
      <c r="BG173" s="43"/>
      <c r="BI173" s="43"/>
      <c r="BJ173" s="43"/>
      <c r="BK173" s="43"/>
      <c r="BL173" s="43"/>
      <c r="BM173" s="43"/>
      <c r="BO173" s="43"/>
      <c r="BR173" s="43"/>
      <c r="BS173" s="43"/>
      <c r="BW173" s="43"/>
      <c r="CC173" s="43"/>
      <c r="CE173" s="43"/>
      <c r="CF173" s="43"/>
      <c r="CH173" s="43"/>
      <c r="CK173" s="43"/>
    </row>
    <row r="174" spans="2:89" x14ac:dyDescent="0.25">
      <c r="B174" s="89"/>
      <c r="C174" s="123"/>
      <c r="D174" s="47"/>
      <c r="E174" s="40"/>
      <c r="F174" s="43"/>
      <c r="G174" s="43"/>
      <c r="H174" s="41"/>
      <c r="I174" s="42"/>
      <c r="J174" s="42"/>
      <c r="K174" s="84"/>
      <c r="L174" s="45"/>
      <c r="M174" s="50"/>
      <c r="N174" s="42"/>
      <c r="O174" s="42"/>
      <c r="P174" s="229"/>
      <c r="Q174" s="42"/>
      <c r="R174" s="42"/>
      <c r="S174" s="42"/>
      <c r="T174" s="42"/>
      <c r="U174" s="67"/>
      <c r="V174" s="220"/>
      <c r="W174" s="48"/>
      <c r="X174" s="49"/>
      <c r="Y174" s="43"/>
      <c r="Z174" s="49"/>
      <c r="AA174" s="43"/>
      <c r="AB174" s="43"/>
      <c r="AC174" s="49"/>
      <c r="AE174" s="43"/>
      <c r="AF174" s="69"/>
      <c r="AI174" s="46"/>
      <c r="AJ174" s="138"/>
      <c r="AK174" s="138"/>
      <c r="AL174" s="138"/>
      <c r="AM174" s="42"/>
      <c r="AO174" s="42"/>
      <c r="AQ174" s="43"/>
      <c r="AR174" s="43"/>
      <c r="AS174" s="44"/>
      <c r="AT174" s="44"/>
      <c r="AU174" s="44"/>
      <c r="AW174" s="42"/>
      <c r="AX174" s="42"/>
      <c r="AY174" s="45"/>
      <c r="AZ174" s="47"/>
      <c r="BG174" s="43"/>
      <c r="BI174" s="43"/>
      <c r="BJ174" s="43"/>
      <c r="BK174" s="43"/>
      <c r="BL174" s="43"/>
      <c r="BM174" s="43"/>
      <c r="BO174" s="43"/>
      <c r="BR174" s="43"/>
      <c r="BS174" s="43"/>
      <c r="BW174" s="43"/>
      <c r="CC174" s="43"/>
      <c r="CE174" s="43"/>
      <c r="CF174" s="43"/>
      <c r="CH174" s="43"/>
      <c r="CK174" s="43"/>
    </row>
    <row r="175" spans="2:89" x14ac:dyDescent="0.25">
      <c r="B175" s="89"/>
      <c r="C175" s="123"/>
      <c r="D175" s="47"/>
      <c r="E175" s="40"/>
      <c r="F175" s="43"/>
      <c r="G175" s="43"/>
      <c r="H175" s="41"/>
      <c r="I175" s="42"/>
      <c r="J175" s="42"/>
      <c r="K175" s="84"/>
      <c r="L175" s="45"/>
      <c r="M175" s="43"/>
      <c r="N175" s="42"/>
      <c r="O175" s="42"/>
      <c r="P175" s="42"/>
      <c r="Q175" s="42"/>
      <c r="R175" s="42"/>
      <c r="S175" s="42"/>
      <c r="T175" s="42"/>
      <c r="U175" s="67"/>
      <c r="V175" s="220"/>
      <c r="W175" s="48"/>
      <c r="X175" s="49"/>
      <c r="Y175" s="43"/>
      <c r="Z175" s="49"/>
      <c r="AA175" s="43"/>
      <c r="AB175" s="43"/>
      <c r="AC175" s="49"/>
      <c r="AE175" s="43"/>
      <c r="AF175" s="69"/>
      <c r="AI175" s="46"/>
      <c r="AJ175" s="138"/>
      <c r="AK175" s="138"/>
      <c r="AL175" s="138"/>
      <c r="AM175" s="42"/>
      <c r="AO175" s="42"/>
      <c r="AQ175" s="43"/>
      <c r="AR175" s="43"/>
      <c r="AS175" s="44"/>
      <c r="AT175" s="44"/>
      <c r="AU175" s="44"/>
      <c r="AW175" s="42"/>
      <c r="AX175" s="42"/>
      <c r="AY175" s="45"/>
      <c r="AZ175" s="47"/>
      <c r="BG175" s="43"/>
      <c r="BI175" s="43"/>
      <c r="BJ175" s="43"/>
      <c r="BK175" s="43"/>
      <c r="BL175" s="43"/>
      <c r="BM175" s="43"/>
      <c r="BO175" s="43"/>
      <c r="BR175" s="43"/>
      <c r="BS175" s="43"/>
      <c r="BW175" s="43"/>
      <c r="CC175" s="43"/>
      <c r="CE175" s="43"/>
      <c r="CF175" s="43"/>
      <c r="CH175" s="43"/>
      <c r="CK175" s="43"/>
    </row>
    <row r="176" spans="2:89" x14ac:dyDescent="0.25">
      <c r="B176" s="89"/>
      <c r="C176" s="123"/>
      <c r="D176" s="47"/>
      <c r="E176" s="40"/>
      <c r="F176" s="43"/>
      <c r="G176" s="43"/>
      <c r="H176" s="41"/>
      <c r="I176" s="42"/>
      <c r="J176" s="42"/>
      <c r="K176" s="84"/>
      <c r="L176" s="45"/>
      <c r="M176" s="43"/>
      <c r="N176" s="42"/>
      <c r="O176" s="42"/>
      <c r="P176" s="42"/>
      <c r="Q176" s="42"/>
      <c r="R176" s="42"/>
      <c r="S176" s="42"/>
      <c r="T176" s="42"/>
      <c r="U176" s="67"/>
      <c r="V176" s="220"/>
      <c r="W176" s="48"/>
      <c r="X176" s="49"/>
      <c r="Y176" s="43"/>
      <c r="Z176" s="49"/>
      <c r="AA176" s="43"/>
      <c r="AB176" s="43"/>
      <c r="AC176" s="49"/>
      <c r="AE176" s="43"/>
      <c r="AF176" s="69"/>
      <c r="AI176" s="46"/>
      <c r="AJ176" s="138"/>
      <c r="AK176" s="138"/>
      <c r="AL176" s="138"/>
      <c r="AM176" s="42"/>
      <c r="AO176" s="42"/>
      <c r="AQ176" s="43"/>
      <c r="AR176" s="43"/>
      <c r="AS176" s="44"/>
      <c r="AT176" s="44"/>
      <c r="AU176" s="44"/>
      <c r="AW176" s="42"/>
      <c r="AX176" s="42"/>
      <c r="AY176" s="45"/>
      <c r="AZ176" s="47"/>
      <c r="BG176" s="43"/>
      <c r="BI176" s="43"/>
      <c r="BJ176" s="43"/>
      <c r="BK176" s="43"/>
      <c r="BL176" s="43"/>
      <c r="BM176" s="43"/>
      <c r="BO176" s="43"/>
      <c r="BR176" s="43"/>
      <c r="BS176" s="43"/>
      <c r="BW176" s="43"/>
      <c r="CC176" s="43"/>
      <c r="CE176" s="43"/>
      <c r="CF176" s="43"/>
      <c r="CH176" s="43"/>
      <c r="CK176" s="43"/>
    </row>
    <row r="177" spans="2:89" x14ac:dyDescent="0.25">
      <c r="B177" s="89"/>
      <c r="C177" s="123"/>
      <c r="D177" s="47"/>
      <c r="E177" s="40"/>
      <c r="F177" s="43"/>
      <c r="G177" s="43"/>
      <c r="H177" s="41"/>
      <c r="I177" s="42"/>
      <c r="J177" s="42"/>
      <c r="K177" s="84"/>
      <c r="L177" s="45"/>
      <c r="M177" s="43"/>
      <c r="N177" s="42"/>
      <c r="O177" s="42"/>
      <c r="P177" s="42"/>
      <c r="Q177" s="42"/>
      <c r="R177" s="42"/>
      <c r="S177" s="42"/>
      <c r="T177" s="42"/>
      <c r="U177" s="67"/>
      <c r="V177" s="220"/>
      <c r="W177" s="48"/>
      <c r="X177" s="49"/>
      <c r="Y177" s="43"/>
      <c r="Z177" s="49"/>
      <c r="AA177" s="43"/>
      <c r="AB177" s="43"/>
      <c r="AC177" s="49"/>
      <c r="AE177" s="43"/>
      <c r="AF177" s="69"/>
      <c r="AI177" s="46"/>
      <c r="AJ177" s="138"/>
      <c r="AK177" s="138"/>
      <c r="AL177" s="138"/>
      <c r="AM177" s="42"/>
      <c r="AO177" s="42"/>
      <c r="AQ177" s="43"/>
      <c r="AR177" s="43"/>
      <c r="AS177" s="44"/>
      <c r="AT177" s="44"/>
      <c r="AU177" s="44"/>
      <c r="AW177" s="42"/>
      <c r="AX177" s="42"/>
      <c r="AY177" s="45"/>
      <c r="AZ177" s="47"/>
      <c r="BG177" s="43"/>
      <c r="BI177" s="43"/>
      <c r="BJ177" s="43"/>
      <c r="BK177" s="43"/>
      <c r="BL177" s="43"/>
      <c r="BM177" s="43"/>
      <c r="BO177" s="43"/>
      <c r="BR177" s="43"/>
      <c r="BS177" s="43"/>
      <c r="BW177" s="43"/>
      <c r="CC177" s="43"/>
      <c r="CE177" s="43"/>
      <c r="CF177" s="43"/>
      <c r="CH177" s="43"/>
      <c r="CK177" s="43"/>
    </row>
    <row r="178" spans="2:89" x14ac:dyDescent="0.25">
      <c r="B178" s="89"/>
      <c r="C178" s="123"/>
      <c r="D178" s="47"/>
      <c r="E178" s="40"/>
      <c r="F178" s="43"/>
      <c r="G178" s="43"/>
      <c r="H178" s="41"/>
      <c r="I178" s="42"/>
      <c r="J178" s="42"/>
      <c r="K178" s="84"/>
      <c r="L178" s="45"/>
      <c r="M178" s="50"/>
      <c r="N178" s="42"/>
      <c r="O178" s="42"/>
      <c r="P178" s="42"/>
      <c r="Q178" s="42"/>
      <c r="R178" s="42"/>
      <c r="S178" s="42"/>
      <c r="T178" s="42"/>
      <c r="U178" s="67"/>
      <c r="V178" s="220"/>
      <c r="W178" s="48"/>
      <c r="X178" s="49"/>
      <c r="Y178" s="43"/>
      <c r="Z178" s="49"/>
      <c r="AA178" s="43"/>
      <c r="AB178" s="43"/>
      <c r="AC178" s="49"/>
      <c r="AE178" s="43"/>
      <c r="AF178" s="69"/>
      <c r="AI178" s="46"/>
      <c r="AJ178" s="138"/>
      <c r="AK178" s="138"/>
      <c r="AL178" s="138"/>
      <c r="AM178" s="42"/>
      <c r="AO178" s="42"/>
      <c r="AQ178" s="43"/>
      <c r="AR178" s="43"/>
      <c r="AS178" s="44"/>
      <c r="AT178" s="44"/>
      <c r="AU178" s="44"/>
      <c r="AW178" s="42"/>
      <c r="AX178" s="42"/>
      <c r="AY178" s="45"/>
      <c r="AZ178" s="47"/>
      <c r="BG178" s="43"/>
      <c r="BI178" s="43"/>
      <c r="BJ178" s="43"/>
      <c r="BK178" s="43"/>
      <c r="BL178" s="43"/>
      <c r="BM178" s="43"/>
      <c r="BO178" s="43"/>
      <c r="BR178" s="43"/>
      <c r="BS178" s="43"/>
      <c r="BW178" s="43"/>
      <c r="CC178" s="43"/>
      <c r="CE178" s="43"/>
      <c r="CF178" s="43"/>
      <c r="CH178" s="43"/>
      <c r="CK178" s="43"/>
    </row>
    <row r="179" spans="2:89" x14ac:dyDescent="0.25">
      <c r="B179" s="89"/>
      <c r="C179" s="123"/>
      <c r="D179" s="47"/>
      <c r="E179" s="40"/>
      <c r="F179" s="43"/>
      <c r="G179" s="43"/>
      <c r="H179" s="41"/>
      <c r="I179" s="42"/>
      <c r="J179" s="42"/>
      <c r="K179" s="84"/>
      <c r="L179" s="45"/>
      <c r="M179" s="50"/>
      <c r="N179" s="42"/>
      <c r="O179" s="42"/>
      <c r="P179" s="42"/>
      <c r="Q179" s="42"/>
      <c r="R179" s="42"/>
      <c r="S179" s="42"/>
      <c r="T179" s="42"/>
      <c r="U179" s="67"/>
      <c r="V179" s="220"/>
      <c r="W179" s="48"/>
      <c r="X179" s="49"/>
      <c r="Y179" s="43"/>
      <c r="Z179" s="49"/>
      <c r="AA179" s="43"/>
      <c r="AB179" s="43"/>
      <c r="AC179" s="49"/>
      <c r="AE179" s="43"/>
      <c r="AF179" s="69"/>
      <c r="AI179" s="46"/>
      <c r="AJ179" s="138"/>
      <c r="AK179" s="138"/>
      <c r="AL179" s="138"/>
      <c r="AM179" s="42"/>
      <c r="AO179" s="42"/>
      <c r="AQ179" s="43"/>
      <c r="AR179" s="43"/>
      <c r="AS179" s="44"/>
      <c r="AT179" s="44"/>
      <c r="AU179" s="44"/>
      <c r="AW179" s="42"/>
      <c r="AX179" s="42"/>
      <c r="AY179" s="45"/>
      <c r="AZ179" s="47"/>
      <c r="BG179" s="43"/>
      <c r="BI179" s="43"/>
      <c r="BJ179" s="43"/>
      <c r="BK179" s="43"/>
      <c r="BL179" s="43"/>
      <c r="BM179" s="43"/>
      <c r="BO179" s="43"/>
      <c r="BR179" s="43"/>
      <c r="BS179" s="43"/>
      <c r="BW179" s="43"/>
      <c r="CC179" s="43"/>
      <c r="CE179" s="43"/>
      <c r="CF179" s="43"/>
      <c r="CH179" s="43"/>
      <c r="CK179" s="43"/>
    </row>
    <row r="180" spans="2:89" x14ac:dyDescent="0.25">
      <c r="B180" s="89"/>
      <c r="C180" s="123"/>
      <c r="D180" s="47"/>
      <c r="E180" s="40"/>
      <c r="F180" s="43"/>
      <c r="G180" s="43"/>
      <c r="H180" s="41"/>
      <c r="I180" s="42"/>
      <c r="J180" s="42"/>
      <c r="K180" s="84"/>
      <c r="L180" s="45"/>
      <c r="M180" s="50"/>
      <c r="N180" s="42"/>
      <c r="O180" s="42"/>
      <c r="P180" s="42"/>
      <c r="Q180" s="42"/>
      <c r="R180" s="42"/>
      <c r="S180" s="42"/>
      <c r="T180" s="42"/>
      <c r="U180" s="67"/>
      <c r="V180" s="220"/>
      <c r="W180" s="48"/>
      <c r="X180" s="49"/>
      <c r="Y180" s="43"/>
      <c r="Z180" s="49"/>
      <c r="AA180" s="43"/>
      <c r="AB180" s="43"/>
      <c r="AC180" s="49"/>
      <c r="AE180" s="43"/>
      <c r="AF180" s="69"/>
      <c r="AI180" s="46"/>
      <c r="AJ180" s="138"/>
      <c r="AK180" s="138"/>
      <c r="AL180" s="138"/>
      <c r="AM180" s="42"/>
      <c r="AO180" s="42"/>
      <c r="AQ180" s="43"/>
      <c r="AR180" s="43"/>
      <c r="AS180" s="44"/>
      <c r="AT180" s="44"/>
      <c r="AU180" s="44"/>
      <c r="AW180" s="42"/>
      <c r="AX180" s="42"/>
      <c r="AY180" s="45"/>
      <c r="AZ180" s="47"/>
      <c r="BG180" s="43"/>
      <c r="BI180" s="43"/>
      <c r="BJ180" s="43"/>
      <c r="BK180" s="43"/>
      <c r="BL180" s="43"/>
      <c r="BM180" s="43"/>
      <c r="BO180" s="43"/>
      <c r="BR180" s="43"/>
      <c r="BS180" s="43"/>
      <c r="BW180" s="43"/>
      <c r="CC180" s="43"/>
      <c r="CE180" s="43"/>
      <c r="CF180" s="43"/>
      <c r="CH180" s="43"/>
      <c r="CK180" s="43"/>
    </row>
    <row r="181" spans="2:89" ht="15.75" customHeight="1" x14ac:dyDescent="0.25">
      <c r="B181" s="89"/>
      <c r="C181" s="123"/>
      <c r="D181" s="47"/>
      <c r="E181" s="40"/>
      <c r="F181" s="43"/>
      <c r="G181" s="43"/>
      <c r="H181" s="41"/>
      <c r="I181" s="42"/>
      <c r="J181" s="42"/>
      <c r="K181" s="84"/>
      <c r="L181" s="45"/>
      <c r="M181" s="50"/>
      <c r="N181" s="42"/>
      <c r="O181" s="42"/>
      <c r="P181" s="42"/>
      <c r="Q181" s="42"/>
      <c r="R181" s="42"/>
      <c r="S181" s="42"/>
      <c r="T181" s="42"/>
      <c r="U181" s="67"/>
      <c r="V181" s="220"/>
      <c r="W181" s="48"/>
      <c r="X181" s="49"/>
      <c r="Y181" s="43"/>
      <c r="Z181" s="49"/>
      <c r="AA181" s="43"/>
      <c r="AB181" s="43"/>
      <c r="AC181" s="49"/>
      <c r="AE181" s="43"/>
      <c r="AF181" s="69"/>
      <c r="AI181" s="46"/>
      <c r="AJ181" s="138"/>
      <c r="AK181" s="138"/>
      <c r="AL181" s="138"/>
      <c r="AM181" s="42"/>
      <c r="AO181" s="42"/>
      <c r="AQ181" s="43"/>
      <c r="AR181" s="43"/>
      <c r="AS181" s="44"/>
      <c r="AT181" s="44"/>
      <c r="AU181" s="44"/>
      <c r="AW181" s="42"/>
      <c r="AX181" s="42"/>
      <c r="AY181" s="45"/>
      <c r="AZ181" s="47"/>
      <c r="BG181" s="43"/>
      <c r="BI181" s="43"/>
      <c r="BJ181" s="43"/>
      <c r="BK181" s="43"/>
      <c r="BL181" s="43"/>
      <c r="BM181" s="43"/>
      <c r="BO181" s="43"/>
      <c r="BR181" s="43"/>
      <c r="BS181" s="43"/>
      <c r="BW181" s="43"/>
      <c r="CC181" s="43"/>
      <c r="CE181" s="43"/>
      <c r="CF181" s="43"/>
      <c r="CH181" s="43"/>
      <c r="CK181" s="43"/>
    </row>
    <row r="182" spans="2:89" ht="15.75" customHeight="1" x14ac:dyDescent="0.25">
      <c r="B182" s="89"/>
      <c r="C182" s="123"/>
      <c r="D182" s="47"/>
      <c r="E182" s="40"/>
      <c r="F182" s="43"/>
      <c r="G182" s="43"/>
      <c r="H182" s="41"/>
      <c r="I182" s="42"/>
      <c r="J182" s="42"/>
      <c r="K182" s="84"/>
      <c r="L182" s="45"/>
      <c r="M182" s="50"/>
      <c r="N182" s="42"/>
      <c r="O182" s="42"/>
      <c r="P182" s="42"/>
      <c r="Q182" s="42"/>
      <c r="R182" s="42"/>
      <c r="S182" s="42"/>
      <c r="T182" s="42"/>
      <c r="U182" s="67"/>
      <c r="V182" s="220"/>
      <c r="W182" s="48"/>
      <c r="X182" s="49"/>
      <c r="Y182" s="43"/>
      <c r="Z182" s="49"/>
      <c r="AA182" s="43"/>
      <c r="AB182" s="43"/>
      <c r="AC182" s="49"/>
      <c r="AE182" s="43"/>
      <c r="AF182" s="69"/>
      <c r="AI182" s="46"/>
      <c r="AJ182" s="138"/>
      <c r="AK182" s="138"/>
      <c r="AL182" s="138"/>
      <c r="AM182" s="42"/>
      <c r="AO182" s="42"/>
      <c r="AQ182" s="43"/>
      <c r="AR182" s="43"/>
      <c r="AS182" s="44"/>
      <c r="AT182" s="44"/>
      <c r="AU182" s="44"/>
      <c r="AW182" s="42"/>
      <c r="AX182" s="42"/>
      <c r="AY182" s="45"/>
      <c r="AZ182" s="47"/>
      <c r="BG182" s="43"/>
      <c r="BI182" s="43"/>
      <c r="BJ182" s="43"/>
      <c r="BK182" s="43"/>
      <c r="BL182" s="43"/>
      <c r="BM182" s="43"/>
      <c r="BO182" s="43"/>
      <c r="BR182" s="43"/>
      <c r="BS182" s="43"/>
      <c r="BW182" s="43"/>
      <c r="CC182" s="43"/>
      <c r="CE182" s="43"/>
      <c r="CF182" s="43"/>
      <c r="CH182" s="43"/>
      <c r="CK182" s="43"/>
    </row>
    <row r="183" spans="2:89" x14ac:dyDescent="0.25">
      <c r="B183" s="89"/>
      <c r="C183" s="123"/>
      <c r="D183" s="47"/>
      <c r="E183" s="40"/>
      <c r="F183" s="43"/>
      <c r="G183" s="43"/>
      <c r="H183" s="41"/>
      <c r="I183" s="42"/>
      <c r="J183" s="42"/>
      <c r="K183" s="84"/>
      <c r="L183" s="45"/>
      <c r="M183" s="43"/>
      <c r="N183" s="42"/>
      <c r="O183" s="42"/>
      <c r="P183" s="223"/>
      <c r="Q183" s="42"/>
      <c r="R183" s="42"/>
      <c r="S183" s="42"/>
      <c r="T183" s="42"/>
      <c r="U183" s="67"/>
      <c r="V183" s="220"/>
      <c r="W183" s="48"/>
      <c r="X183" s="49"/>
      <c r="Y183" s="43"/>
      <c r="Z183" s="49"/>
      <c r="AA183" s="43"/>
      <c r="AB183" s="43"/>
      <c r="AC183" s="49"/>
      <c r="AE183" s="43"/>
      <c r="AF183" s="69"/>
      <c r="AI183" s="46"/>
      <c r="AJ183" s="138"/>
      <c r="AK183" s="138"/>
      <c r="AL183" s="138"/>
      <c r="AM183" s="42"/>
      <c r="AO183" s="42"/>
      <c r="AQ183" s="43"/>
      <c r="AR183" s="43"/>
      <c r="AS183" s="44"/>
      <c r="AT183" s="44"/>
      <c r="AU183" s="44"/>
      <c r="AW183" s="42"/>
      <c r="AX183" s="42"/>
      <c r="AY183" s="45"/>
      <c r="AZ183" s="47"/>
      <c r="BG183" s="43"/>
      <c r="BI183" s="43"/>
      <c r="BJ183" s="43"/>
      <c r="BK183" s="43"/>
      <c r="BL183" s="43"/>
      <c r="BM183" s="43"/>
      <c r="BO183" s="43"/>
      <c r="BR183" s="43"/>
      <c r="BS183" s="43"/>
      <c r="BW183" s="43"/>
      <c r="CC183" s="43"/>
      <c r="CE183" s="43"/>
      <c r="CF183" s="43"/>
      <c r="CH183" s="43"/>
      <c r="CK183" s="43"/>
    </row>
    <row r="184" spans="2:89" x14ac:dyDescent="0.25">
      <c r="B184" s="89"/>
      <c r="C184" s="123"/>
      <c r="D184" s="47"/>
      <c r="E184" s="40"/>
      <c r="F184" s="43"/>
      <c r="G184" s="43"/>
      <c r="H184" s="41"/>
      <c r="I184" s="42"/>
      <c r="J184" s="42"/>
      <c r="K184" s="84"/>
      <c r="L184" s="45"/>
      <c r="M184" s="50"/>
      <c r="N184" s="42"/>
      <c r="O184" s="42"/>
      <c r="P184" s="229"/>
      <c r="Q184" s="42"/>
      <c r="R184" s="42"/>
      <c r="S184" s="42"/>
      <c r="T184" s="42"/>
      <c r="U184" s="67"/>
      <c r="V184" s="220"/>
      <c r="W184" s="48"/>
      <c r="X184" s="49"/>
      <c r="Y184" s="43"/>
      <c r="Z184" s="49"/>
      <c r="AA184" s="43"/>
      <c r="AB184" s="43"/>
      <c r="AC184" s="49"/>
      <c r="AE184" s="43"/>
      <c r="AF184" s="69"/>
      <c r="AI184" s="46"/>
      <c r="AJ184" s="138"/>
      <c r="AK184" s="138"/>
      <c r="AL184" s="138"/>
      <c r="AM184" s="42"/>
      <c r="AO184" s="42"/>
      <c r="AQ184" s="43"/>
      <c r="AR184" s="43"/>
      <c r="AS184" s="44"/>
      <c r="AT184" s="44"/>
      <c r="AU184" s="44"/>
      <c r="AW184" s="42"/>
      <c r="AX184" s="42"/>
      <c r="AY184" s="45"/>
      <c r="AZ184" s="47"/>
      <c r="BG184" s="43"/>
      <c r="BI184" s="43"/>
      <c r="BJ184" s="43"/>
      <c r="BK184" s="43"/>
      <c r="BL184" s="43"/>
      <c r="BM184" s="43"/>
      <c r="BO184" s="43"/>
      <c r="BR184" s="43"/>
      <c r="BS184" s="43"/>
      <c r="BW184" s="43"/>
      <c r="CC184" s="43"/>
      <c r="CE184" s="43"/>
      <c r="CF184" s="43"/>
      <c r="CH184" s="43"/>
      <c r="CK184" s="43"/>
    </row>
    <row r="185" spans="2:89" x14ac:dyDescent="0.25">
      <c r="B185" s="89"/>
      <c r="C185" s="123"/>
      <c r="D185" s="47"/>
      <c r="E185" s="40"/>
      <c r="F185" s="43"/>
      <c r="G185" s="43"/>
      <c r="H185" s="41"/>
      <c r="I185" s="42"/>
      <c r="J185" s="42"/>
      <c r="K185" s="84"/>
      <c r="L185" s="45"/>
      <c r="M185" s="50"/>
      <c r="N185" s="42"/>
      <c r="O185" s="42"/>
      <c r="P185" s="223"/>
      <c r="Q185" s="42"/>
      <c r="R185" s="42"/>
      <c r="S185" s="42"/>
      <c r="T185" s="42"/>
      <c r="U185" s="67"/>
      <c r="V185" s="220"/>
      <c r="W185" s="48"/>
      <c r="X185" s="49"/>
      <c r="Y185" s="43"/>
      <c r="Z185" s="49"/>
      <c r="AA185" s="43"/>
      <c r="AB185" s="43"/>
      <c r="AC185" s="49"/>
      <c r="AE185" s="43"/>
      <c r="AF185" s="69"/>
      <c r="AI185" s="46"/>
      <c r="AJ185" s="138"/>
      <c r="AK185" s="138"/>
      <c r="AL185" s="138"/>
      <c r="AM185" s="42"/>
      <c r="AO185" s="42"/>
      <c r="AQ185" s="43"/>
      <c r="AR185" s="43"/>
      <c r="AS185" s="44"/>
      <c r="AT185" s="44"/>
      <c r="AU185" s="44"/>
      <c r="AW185" s="42"/>
      <c r="AX185" s="42"/>
      <c r="AY185" s="45"/>
      <c r="AZ185" s="47"/>
      <c r="BG185" s="43"/>
      <c r="BI185" s="43"/>
      <c r="BJ185" s="43"/>
      <c r="BK185" s="43"/>
      <c r="BL185" s="43"/>
      <c r="BM185" s="43"/>
      <c r="BO185" s="43"/>
      <c r="BR185" s="43"/>
      <c r="BS185" s="43"/>
      <c r="BW185" s="43"/>
      <c r="CC185" s="43"/>
      <c r="CE185" s="43"/>
      <c r="CF185" s="43"/>
      <c r="CH185" s="43"/>
      <c r="CK185" s="43"/>
    </row>
    <row r="186" spans="2:89" x14ac:dyDescent="0.25">
      <c r="B186" s="89"/>
      <c r="C186" s="123"/>
      <c r="D186" s="47"/>
      <c r="E186" s="40"/>
      <c r="F186" s="43"/>
      <c r="G186" s="43"/>
      <c r="H186" s="41"/>
      <c r="I186" s="42"/>
      <c r="J186" s="42"/>
      <c r="K186" s="84"/>
      <c r="L186" s="45"/>
      <c r="M186" s="50"/>
      <c r="N186" s="42"/>
      <c r="O186" s="42"/>
      <c r="P186" s="223"/>
      <c r="Q186" s="42"/>
      <c r="R186" s="42"/>
      <c r="S186" s="42"/>
      <c r="T186" s="42"/>
      <c r="U186" s="67"/>
      <c r="V186" s="220"/>
      <c r="W186" s="48"/>
      <c r="X186" s="49"/>
      <c r="Y186" s="43"/>
      <c r="Z186" s="49"/>
      <c r="AA186" s="43"/>
      <c r="AB186" s="43"/>
      <c r="AC186" s="49"/>
      <c r="AE186" s="43"/>
      <c r="AF186" s="69"/>
      <c r="AI186" s="46"/>
      <c r="AJ186" s="138"/>
      <c r="AK186" s="138"/>
      <c r="AL186" s="138"/>
      <c r="AM186" s="42"/>
      <c r="AO186" s="42"/>
      <c r="AQ186" s="43"/>
      <c r="AR186" s="43"/>
      <c r="AS186" s="44"/>
      <c r="AT186" s="44"/>
      <c r="AU186" s="44"/>
      <c r="AW186" s="42"/>
      <c r="AX186" s="42"/>
      <c r="AY186" s="45"/>
      <c r="AZ186" s="47"/>
      <c r="BG186" s="43"/>
      <c r="BI186" s="43"/>
      <c r="BJ186" s="43"/>
      <c r="BK186" s="43"/>
      <c r="BL186" s="43"/>
      <c r="BM186" s="43"/>
      <c r="BO186" s="43"/>
      <c r="BR186" s="43"/>
      <c r="BS186" s="43"/>
      <c r="BW186" s="43"/>
      <c r="CC186" s="43"/>
      <c r="CE186" s="43"/>
      <c r="CF186" s="43"/>
      <c r="CH186" s="43"/>
      <c r="CK186" s="43"/>
    </row>
    <row r="187" spans="2:89" ht="15.75" customHeight="1" x14ac:dyDescent="0.25">
      <c r="B187" s="89"/>
      <c r="C187" s="123"/>
      <c r="D187" s="47"/>
      <c r="E187" s="40"/>
      <c r="F187" s="43"/>
      <c r="G187" s="43"/>
      <c r="H187" s="41"/>
      <c r="I187" s="42"/>
      <c r="J187" s="42"/>
      <c r="K187" s="84"/>
      <c r="L187" s="45"/>
      <c r="M187" s="50"/>
      <c r="N187" s="42"/>
      <c r="O187" s="42"/>
      <c r="P187" s="42"/>
      <c r="Q187" s="42"/>
      <c r="R187" s="42"/>
      <c r="S187" s="42"/>
      <c r="T187" s="42"/>
      <c r="U187" s="67"/>
      <c r="V187" s="220"/>
      <c r="W187" s="48"/>
      <c r="X187" s="49"/>
      <c r="Y187" s="43"/>
      <c r="Z187" s="49"/>
      <c r="AA187" s="43"/>
      <c r="AB187" s="43"/>
      <c r="AC187" s="49"/>
      <c r="AE187" s="43"/>
      <c r="AF187" s="69"/>
      <c r="AI187" s="46"/>
      <c r="AJ187" s="138"/>
      <c r="AK187" s="138"/>
      <c r="AL187" s="138"/>
      <c r="AM187" s="42"/>
      <c r="AO187" s="42"/>
      <c r="AQ187" s="43"/>
      <c r="AR187" s="43"/>
      <c r="AS187" s="44"/>
      <c r="AT187" s="44"/>
      <c r="AU187" s="44"/>
      <c r="AW187" s="42"/>
      <c r="AX187" s="42"/>
      <c r="AY187" s="45"/>
      <c r="AZ187" s="47"/>
      <c r="BG187" s="43"/>
      <c r="BI187" s="43"/>
      <c r="BJ187" s="43"/>
      <c r="BK187" s="43"/>
      <c r="BL187" s="43"/>
      <c r="BM187" s="43"/>
      <c r="BO187" s="43"/>
      <c r="BR187" s="43"/>
      <c r="BS187" s="43"/>
      <c r="BW187" s="43"/>
      <c r="CC187" s="43"/>
      <c r="CE187" s="43"/>
      <c r="CF187" s="43"/>
      <c r="CH187" s="43"/>
      <c r="CK187" s="43"/>
    </row>
    <row r="188" spans="2:89" x14ac:dyDescent="0.25">
      <c r="B188" s="89"/>
      <c r="C188" s="123"/>
      <c r="D188" s="47"/>
      <c r="E188" s="40"/>
      <c r="F188" s="43"/>
      <c r="G188" s="43"/>
      <c r="H188" s="41"/>
      <c r="I188" s="42"/>
      <c r="J188" s="42"/>
      <c r="K188" s="84"/>
      <c r="L188" s="45"/>
      <c r="M188" s="50"/>
      <c r="N188" s="42"/>
      <c r="O188" s="42"/>
      <c r="P188" s="42"/>
      <c r="Q188" s="42"/>
      <c r="R188" s="42"/>
      <c r="S188" s="42"/>
      <c r="T188" s="42"/>
      <c r="U188" s="67"/>
      <c r="V188" s="220"/>
      <c r="W188" s="48"/>
      <c r="X188" s="49"/>
      <c r="Y188" s="43"/>
      <c r="Z188" s="49"/>
      <c r="AA188" s="43"/>
      <c r="AB188" s="43"/>
      <c r="AC188" s="49"/>
      <c r="AE188" s="43"/>
      <c r="AF188" s="69"/>
      <c r="AI188" s="46"/>
      <c r="AJ188" s="138"/>
      <c r="AK188" s="138"/>
      <c r="AL188" s="138"/>
      <c r="AM188" s="42"/>
      <c r="AO188" s="42"/>
      <c r="AQ188" s="43"/>
      <c r="AR188" s="43"/>
      <c r="AS188" s="44"/>
      <c r="AT188" s="44"/>
      <c r="AU188" s="44"/>
      <c r="AW188" s="42"/>
      <c r="AX188" s="42"/>
      <c r="AY188" s="45"/>
      <c r="AZ188" s="47"/>
      <c r="BG188" s="43"/>
      <c r="BI188" s="43"/>
      <c r="BJ188" s="43"/>
      <c r="BK188" s="43"/>
      <c r="BL188" s="43"/>
      <c r="BM188" s="43"/>
      <c r="BO188" s="43"/>
      <c r="BR188" s="43"/>
      <c r="BS188" s="43"/>
      <c r="BW188" s="43"/>
      <c r="CC188" s="43"/>
      <c r="CE188" s="43"/>
      <c r="CF188" s="43"/>
      <c r="CH188" s="43"/>
      <c r="CK188" s="43"/>
    </row>
    <row r="189" spans="2:89" x14ac:dyDescent="0.25">
      <c r="B189" s="89"/>
      <c r="C189" s="123"/>
      <c r="D189" s="47"/>
      <c r="E189" s="40"/>
      <c r="F189" s="43"/>
      <c r="G189" s="43"/>
      <c r="H189" s="41"/>
      <c r="I189" s="42"/>
      <c r="J189" s="42"/>
      <c r="K189" s="84"/>
      <c r="L189" s="45"/>
      <c r="M189" s="50"/>
      <c r="N189" s="42"/>
      <c r="O189" s="42"/>
      <c r="P189" s="223"/>
      <c r="Q189" s="42"/>
      <c r="R189" s="42"/>
      <c r="S189" s="42"/>
      <c r="T189" s="42"/>
      <c r="U189" s="67"/>
      <c r="V189" s="220"/>
      <c r="W189" s="48"/>
      <c r="X189" s="49"/>
      <c r="Y189" s="43"/>
      <c r="Z189" s="49"/>
      <c r="AA189" s="43"/>
      <c r="AB189" s="43"/>
      <c r="AC189" s="49"/>
      <c r="AE189" s="43"/>
      <c r="AF189" s="69"/>
      <c r="AI189" s="46"/>
      <c r="AJ189" s="138"/>
      <c r="AK189" s="138"/>
      <c r="AL189" s="138"/>
      <c r="AM189" s="42"/>
      <c r="AO189" s="42"/>
      <c r="AQ189" s="43"/>
      <c r="AR189" s="43"/>
      <c r="AS189" s="44"/>
      <c r="AT189" s="44"/>
      <c r="AU189" s="44"/>
      <c r="AW189" s="42"/>
      <c r="AX189" s="42"/>
      <c r="AY189" s="45"/>
      <c r="AZ189" s="47"/>
      <c r="BG189" s="43"/>
      <c r="BI189" s="43"/>
      <c r="BJ189" s="43"/>
      <c r="BK189" s="43"/>
      <c r="BL189" s="43"/>
      <c r="BM189" s="43"/>
      <c r="BO189" s="43"/>
      <c r="BR189" s="43"/>
      <c r="BS189" s="43"/>
      <c r="BW189" s="43"/>
      <c r="CC189" s="43"/>
      <c r="CE189" s="43"/>
      <c r="CF189" s="43"/>
      <c r="CH189" s="43"/>
      <c r="CK189" s="43"/>
    </row>
    <row r="190" spans="2:89" x14ac:dyDescent="0.25">
      <c r="B190" s="89"/>
      <c r="C190" s="123"/>
      <c r="D190" s="47"/>
      <c r="E190" s="40"/>
      <c r="F190" s="43"/>
      <c r="G190" s="43"/>
      <c r="H190" s="41"/>
      <c r="I190" s="42"/>
      <c r="J190" s="42"/>
      <c r="K190" s="84"/>
      <c r="L190" s="45"/>
      <c r="M190" s="50"/>
      <c r="N190" s="42"/>
      <c r="O190" s="42"/>
      <c r="P190" s="42"/>
      <c r="Q190" s="42"/>
      <c r="R190" s="42"/>
      <c r="S190" s="42"/>
      <c r="T190" s="42"/>
      <c r="U190" s="67"/>
      <c r="V190" s="220"/>
      <c r="W190" s="48"/>
      <c r="X190" s="49"/>
      <c r="Y190" s="43"/>
      <c r="Z190" s="49"/>
      <c r="AA190" s="43"/>
      <c r="AB190" s="43"/>
      <c r="AC190" s="49"/>
      <c r="AE190" s="43"/>
      <c r="AF190" s="69"/>
      <c r="AI190" s="46"/>
      <c r="AJ190" s="138"/>
      <c r="AK190" s="138"/>
      <c r="AL190" s="138"/>
      <c r="AM190" s="42"/>
      <c r="AO190" s="42"/>
      <c r="AQ190" s="43"/>
      <c r="AR190" s="43"/>
      <c r="AS190" s="44"/>
      <c r="AT190" s="44"/>
      <c r="AU190" s="44"/>
      <c r="AW190" s="42"/>
      <c r="AX190" s="42"/>
      <c r="AY190" s="45"/>
      <c r="AZ190" s="47"/>
      <c r="BG190" s="43"/>
      <c r="BI190" s="43"/>
      <c r="BJ190" s="43"/>
      <c r="BK190" s="43"/>
      <c r="BL190" s="43"/>
      <c r="BM190" s="43"/>
      <c r="BO190" s="43"/>
      <c r="BR190" s="43"/>
      <c r="BS190" s="43"/>
      <c r="BW190" s="43"/>
      <c r="CC190" s="43"/>
      <c r="CE190" s="43"/>
      <c r="CF190" s="43"/>
      <c r="CH190" s="43"/>
      <c r="CK190" s="43"/>
    </row>
    <row r="191" spans="2:89" x14ac:dyDescent="0.25">
      <c r="B191" s="89"/>
      <c r="C191" s="123"/>
      <c r="D191" s="47"/>
      <c r="E191" s="40"/>
      <c r="F191" s="43"/>
      <c r="G191" s="43"/>
      <c r="H191" s="41"/>
      <c r="I191" s="42"/>
      <c r="J191" s="42"/>
      <c r="K191" s="84"/>
      <c r="L191" s="45"/>
      <c r="M191" s="50"/>
      <c r="N191" s="42"/>
      <c r="O191" s="42"/>
      <c r="P191" s="42"/>
      <c r="Q191" s="42"/>
      <c r="R191" s="42"/>
      <c r="S191" s="42"/>
      <c r="T191" s="42"/>
      <c r="U191" s="67"/>
      <c r="V191" s="220"/>
      <c r="W191" s="48"/>
      <c r="X191" s="49"/>
      <c r="Y191" s="43"/>
      <c r="Z191" s="49"/>
      <c r="AA191" s="43"/>
      <c r="AB191" s="43"/>
      <c r="AC191" s="49"/>
      <c r="AE191" s="43"/>
      <c r="AF191" s="69"/>
      <c r="AI191" s="46"/>
      <c r="AJ191" s="138"/>
      <c r="AK191" s="138"/>
      <c r="AL191" s="138"/>
      <c r="AM191" s="42"/>
      <c r="AO191" s="42"/>
      <c r="AQ191" s="43"/>
      <c r="AR191" s="43"/>
      <c r="AS191" s="44"/>
      <c r="AT191" s="44"/>
      <c r="AU191" s="44"/>
      <c r="AW191" s="42"/>
      <c r="AX191" s="42"/>
      <c r="AY191" s="45"/>
      <c r="AZ191" s="47"/>
      <c r="BG191" s="43"/>
      <c r="BI191" s="43"/>
      <c r="BJ191" s="43"/>
      <c r="BK191" s="43"/>
      <c r="BL191" s="43"/>
      <c r="BM191" s="43"/>
      <c r="BO191" s="43"/>
      <c r="BR191" s="43"/>
      <c r="BS191" s="43"/>
      <c r="BW191" s="43"/>
      <c r="CC191" s="43"/>
      <c r="CE191" s="43"/>
      <c r="CF191" s="43"/>
      <c r="CH191" s="43"/>
      <c r="CK191" s="43"/>
    </row>
    <row r="192" spans="2:89" x14ac:dyDescent="0.25">
      <c r="B192" s="89"/>
      <c r="C192" s="123"/>
      <c r="D192" s="47"/>
      <c r="E192" s="40"/>
      <c r="F192" s="43"/>
      <c r="G192" s="43"/>
      <c r="H192" s="41"/>
      <c r="I192" s="42"/>
      <c r="J192" s="42"/>
      <c r="K192" s="84"/>
      <c r="L192" s="45"/>
      <c r="M192" s="50"/>
      <c r="N192" s="42"/>
      <c r="O192" s="42"/>
      <c r="P192" s="42"/>
      <c r="Q192" s="42"/>
      <c r="R192" s="42"/>
      <c r="S192" s="42"/>
      <c r="T192" s="42"/>
      <c r="U192" s="67"/>
      <c r="V192" s="220"/>
      <c r="W192" s="48"/>
      <c r="X192" s="49"/>
      <c r="Y192" s="43"/>
      <c r="Z192" s="49"/>
      <c r="AA192" s="43"/>
      <c r="AB192" s="43"/>
      <c r="AC192" s="49"/>
      <c r="AE192" s="43"/>
      <c r="AF192" s="69"/>
      <c r="AI192" s="46"/>
      <c r="AJ192" s="138"/>
      <c r="AK192" s="138"/>
      <c r="AL192" s="138"/>
      <c r="AM192" s="42"/>
      <c r="AO192" s="42"/>
      <c r="AQ192" s="43"/>
      <c r="AR192" s="43"/>
      <c r="AS192" s="44"/>
      <c r="AT192" s="44"/>
      <c r="AU192" s="44"/>
      <c r="AW192" s="42"/>
      <c r="AX192" s="42"/>
      <c r="AY192" s="45"/>
      <c r="AZ192" s="47"/>
      <c r="BG192" s="43"/>
      <c r="BI192" s="43"/>
      <c r="BJ192" s="43"/>
      <c r="BK192" s="43"/>
      <c r="BL192" s="43"/>
      <c r="BM192" s="43"/>
      <c r="BO192" s="43"/>
      <c r="BR192" s="43"/>
      <c r="BS192" s="43"/>
      <c r="BW192" s="43"/>
      <c r="CC192" s="43"/>
      <c r="CE192" s="43"/>
      <c r="CF192" s="43"/>
      <c r="CH192" s="43"/>
      <c r="CK192" s="43"/>
    </row>
    <row r="193" spans="2:89" x14ac:dyDescent="0.25">
      <c r="B193" s="154"/>
      <c r="C193" s="123"/>
      <c r="D193" s="47"/>
      <c r="E193" s="40"/>
      <c r="F193" s="43"/>
      <c r="G193" s="43"/>
      <c r="H193" s="147"/>
      <c r="I193" s="42"/>
      <c r="J193" s="199"/>
      <c r="K193" s="84"/>
      <c r="L193" s="45"/>
      <c r="M193" s="50"/>
      <c r="N193" s="42"/>
      <c r="O193" s="42"/>
      <c r="P193" s="42"/>
      <c r="Q193" s="42"/>
      <c r="R193" s="42"/>
      <c r="S193" s="42"/>
      <c r="T193" s="42"/>
      <c r="U193" s="148"/>
      <c r="V193" s="222"/>
      <c r="W193" s="48"/>
      <c r="X193" s="49"/>
      <c r="Y193" s="43"/>
      <c r="Z193" s="49"/>
      <c r="AA193" s="43"/>
      <c r="AB193" s="43"/>
      <c r="AC193" s="49"/>
      <c r="AE193" s="43"/>
      <c r="AF193" s="69"/>
      <c r="AG193" s="69"/>
      <c r="AH193" s="135"/>
      <c r="AI193" s="46"/>
      <c r="AJ193" s="149"/>
      <c r="AK193" s="138"/>
      <c r="AL193" s="180"/>
      <c r="AM193" s="74"/>
      <c r="AN193" s="74"/>
      <c r="AO193" s="74"/>
      <c r="AP193" s="74"/>
      <c r="AQ193" s="43"/>
      <c r="AR193" s="43"/>
      <c r="AS193" s="82"/>
      <c r="AT193" s="82"/>
      <c r="AU193" s="249"/>
      <c r="AV193" s="81"/>
      <c r="AW193" s="74"/>
      <c r="AX193" s="74"/>
      <c r="AY193" s="74"/>
      <c r="AZ193" s="83"/>
      <c r="BG193" s="43"/>
      <c r="BI193" s="43"/>
      <c r="BJ193" s="43"/>
      <c r="BK193" s="43"/>
      <c r="BL193" s="43"/>
      <c r="BM193" s="43"/>
      <c r="BO193" s="43"/>
      <c r="BR193" s="43"/>
      <c r="BS193" s="43"/>
      <c r="BW193" s="43"/>
      <c r="CC193" s="43"/>
      <c r="CE193" s="43"/>
      <c r="CF193" s="43"/>
      <c r="CH193" s="43"/>
      <c r="CK193" s="43"/>
    </row>
    <row r="194" spans="2:89" x14ac:dyDescent="0.25">
      <c r="B194" s="89"/>
      <c r="C194" s="123"/>
      <c r="D194" s="47"/>
      <c r="E194" s="40"/>
      <c r="F194" s="43"/>
      <c r="G194" s="43"/>
      <c r="H194" s="41"/>
      <c r="I194" s="42"/>
      <c r="J194" s="42"/>
      <c r="K194" s="84"/>
      <c r="L194" s="45"/>
      <c r="M194" s="43"/>
      <c r="N194" s="42"/>
      <c r="O194" s="42"/>
      <c r="P194" s="229"/>
      <c r="Q194" s="42"/>
      <c r="R194" s="42"/>
      <c r="S194" s="42"/>
      <c r="T194" s="42"/>
      <c r="U194" s="67"/>
      <c r="V194" s="220"/>
      <c r="W194" s="48"/>
      <c r="X194" s="49"/>
      <c r="Y194" s="43"/>
      <c r="Z194" s="49"/>
      <c r="AA194" s="43"/>
      <c r="AB194" s="43"/>
      <c r="AC194" s="49"/>
      <c r="AE194" s="43"/>
      <c r="AF194" s="69"/>
      <c r="AI194" s="46"/>
      <c r="AJ194" s="138"/>
      <c r="AK194" s="138"/>
      <c r="AL194" s="138"/>
      <c r="AM194" s="42"/>
      <c r="AO194" s="42"/>
      <c r="AQ194" s="43"/>
      <c r="AR194" s="43"/>
      <c r="AS194" s="44"/>
      <c r="AT194" s="44"/>
      <c r="AU194" s="44"/>
      <c r="AW194" s="42"/>
      <c r="AX194" s="42"/>
      <c r="AY194" s="45"/>
      <c r="AZ194" s="47"/>
      <c r="BG194" s="43"/>
      <c r="BI194" s="43"/>
      <c r="BJ194" s="43"/>
      <c r="BK194" s="43"/>
      <c r="BL194" s="43"/>
      <c r="BM194" s="43"/>
      <c r="BO194" s="43"/>
      <c r="BR194" s="43"/>
      <c r="BS194" s="43"/>
      <c r="BW194" s="43"/>
      <c r="CC194" s="43"/>
      <c r="CE194" s="43"/>
      <c r="CF194" s="43"/>
      <c r="CH194" s="43"/>
      <c r="CK194" s="43"/>
    </row>
    <row r="195" spans="2:89" x14ac:dyDescent="0.25">
      <c r="B195" s="89"/>
      <c r="C195" s="123"/>
      <c r="D195" s="47"/>
      <c r="E195" s="40"/>
      <c r="F195" s="43"/>
      <c r="G195" s="43"/>
      <c r="H195" s="41"/>
      <c r="I195" s="42"/>
      <c r="J195" s="42"/>
      <c r="K195" s="84"/>
      <c r="L195" s="45"/>
      <c r="M195" s="43"/>
      <c r="N195" s="42"/>
      <c r="O195" s="42"/>
      <c r="P195" s="229"/>
      <c r="Q195" s="42"/>
      <c r="R195" s="42"/>
      <c r="S195" s="42"/>
      <c r="T195" s="42"/>
      <c r="U195" s="67"/>
      <c r="V195" s="220"/>
      <c r="W195" s="48"/>
      <c r="X195" s="49"/>
      <c r="Y195" s="43"/>
      <c r="Z195" s="49"/>
      <c r="AA195" s="43"/>
      <c r="AB195" s="43"/>
      <c r="AC195" s="49"/>
      <c r="AE195" s="43"/>
      <c r="AF195" s="69"/>
      <c r="AI195" s="46"/>
      <c r="AJ195" s="138"/>
      <c r="AK195" s="138"/>
      <c r="AL195" s="138"/>
      <c r="AM195" s="42"/>
      <c r="AO195" s="42"/>
      <c r="AQ195" s="43"/>
      <c r="AR195" s="43"/>
      <c r="AS195" s="44"/>
      <c r="AT195" s="44"/>
      <c r="AU195" s="44"/>
      <c r="AW195" s="42"/>
      <c r="AX195" s="42"/>
      <c r="AY195" s="45"/>
      <c r="AZ195" s="47"/>
      <c r="BG195" s="43"/>
      <c r="BI195" s="43"/>
      <c r="BJ195" s="43"/>
      <c r="BK195" s="43"/>
      <c r="BL195" s="43"/>
      <c r="BM195" s="43"/>
      <c r="BO195" s="43"/>
      <c r="BR195" s="43"/>
      <c r="BS195" s="43"/>
      <c r="BW195" s="43"/>
      <c r="CC195" s="43"/>
      <c r="CE195" s="43"/>
      <c r="CF195" s="43"/>
      <c r="CH195" s="43"/>
      <c r="CK195" s="43"/>
    </row>
    <row r="196" spans="2:89" x14ac:dyDescent="0.25">
      <c r="B196" s="89"/>
      <c r="C196" s="123"/>
      <c r="D196" s="47"/>
      <c r="E196" s="40"/>
      <c r="F196" s="43"/>
      <c r="G196" s="43"/>
      <c r="H196" s="41"/>
      <c r="I196" s="42"/>
      <c r="J196" s="42"/>
      <c r="K196" s="84"/>
      <c r="L196" s="45"/>
      <c r="M196" s="43"/>
      <c r="N196" s="42"/>
      <c r="O196" s="42"/>
      <c r="P196" s="223"/>
      <c r="Q196" s="42"/>
      <c r="R196" s="42"/>
      <c r="S196" s="42"/>
      <c r="T196" s="42"/>
      <c r="U196" s="67"/>
      <c r="V196" s="220"/>
      <c r="W196" s="48"/>
      <c r="X196" s="49"/>
      <c r="Y196" s="43"/>
      <c r="Z196" s="49"/>
      <c r="AA196" s="43"/>
      <c r="AB196" s="43"/>
      <c r="AC196" s="49"/>
      <c r="AE196" s="43"/>
      <c r="AF196" s="69"/>
      <c r="AI196" s="46"/>
      <c r="AJ196" s="138"/>
      <c r="AK196" s="138"/>
      <c r="AL196" s="138"/>
      <c r="AM196" s="42"/>
      <c r="AO196" s="42"/>
      <c r="AQ196" s="43"/>
      <c r="AR196" s="43"/>
      <c r="AS196" s="44"/>
      <c r="AT196" s="152"/>
      <c r="AU196" s="44"/>
      <c r="AW196" s="42"/>
      <c r="AX196" s="42"/>
      <c r="AY196" s="45"/>
      <c r="AZ196" s="47"/>
      <c r="BG196" s="43"/>
      <c r="BI196" s="43"/>
      <c r="BJ196" s="43"/>
      <c r="BK196" s="43"/>
      <c r="BL196" s="43"/>
      <c r="BM196" s="43"/>
      <c r="BO196" s="43"/>
      <c r="BR196" s="43"/>
      <c r="BS196" s="43"/>
      <c r="BW196" s="43"/>
      <c r="CC196" s="43"/>
      <c r="CE196" s="43"/>
      <c r="CF196" s="43"/>
      <c r="CH196" s="43"/>
      <c r="CK196" s="43"/>
    </row>
    <row r="197" spans="2:89" x14ac:dyDescent="0.25">
      <c r="B197" s="89"/>
      <c r="C197" s="125"/>
      <c r="D197" s="47"/>
      <c r="E197" s="40"/>
      <c r="F197" s="111"/>
      <c r="G197" s="111"/>
      <c r="H197" s="41"/>
      <c r="I197" s="182"/>
      <c r="J197" s="113"/>
      <c r="K197" s="84"/>
      <c r="L197" s="45"/>
      <c r="M197" s="132"/>
      <c r="N197" s="42"/>
      <c r="O197" s="42"/>
      <c r="P197" s="229"/>
      <c r="Q197" s="42"/>
      <c r="R197" s="42"/>
      <c r="S197" s="42"/>
      <c r="T197" s="42"/>
      <c r="U197" s="112"/>
      <c r="V197" s="222"/>
      <c r="W197" s="48"/>
      <c r="X197" s="49"/>
      <c r="Y197" s="43"/>
      <c r="Z197" s="49"/>
      <c r="AA197" s="43"/>
      <c r="AB197" s="43"/>
      <c r="AC197" s="49"/>
      <c r="AE197" s="43"/>
      <c r="AF197" s="69"/>
      <c r="AG197" s="69"/>
      <c r="AH197" s="150"/>
      <c r="AI197" s="46"/>
      <c r="AJ197" s="139"/>
      <c r="AK197" s="138"/>
      <c r="AL197" s="181"/>
      <c r="AM197" s="74"/>
      <c r="AN197" s="74"/>
      <c r="AO197" s="74"/>
      <c r="AP197" s="74"/>
      <c r="AQ197" s="43"/>
      <c r="AR197" s="43"/>
      <c r="AS197" s="82"/>
      <c r="AT197" s="82"/>
      <c r="AU197" s="250"/>
      <c r="AV197" s="120"/>
      <c r="AW197" s="115"/>
      <c r="AX197" s="115"/>
      <c r="AY197" s="115"/>
      <c r="AZ197" s="83"/>
      <c r="BG197" s="43"/>
      <c r="BI197" s="43"/>
      <c r="BJ197" s="43"/>
      <c r="BK197" s="43"/>
      <c r="BL197" s="43"/>
      <c r="BM197" s="43"/>
      <c r="BO197" s="43"/>
      <c r="BR197" s="43"/>
      <c r="BS197" s="43"/>
      <c r="BW197" s="43"/>
      <c r="CC197" s="43"/>
      <c r="CE197" s="43"/>
      <c r="CF197" s="43"/>
      <c r="CH197" s="43"/>
      <c r="CK197" s="43"/>
    </row>
    <row r="198" spans="2:89" x14ac:dyDescent="0.25">
      <c r="B198" s="89"/>
      <c r="C198" s="123"/>
      <c r="D198" s="47"/>
      <c r="E198" s="40"/>
      <c r="F198" s="43"/>
      <c r="G198" s="43"/>
      <c r="H198" s="41"/>
      <c r="I198" s="42"/>
      <c r="J198" s="42"/>
      <c r="K198" s="84"/>
      <c r="L198" s="45"/>
      <c r="M198" s="43"/>
      <c r="N198" s="42"/>
      <c r="O198" s="42"/>
      <c r="P198" s="229"/>
      <c r="Q198" s="42"/>
      <c r="R198" s="42"/>
      <c r="S198" s="42"/>
      <c r="T198" s="42"/>
      <c r="U198" s="67"/>
      <c r="V198" s="220"/>
      <c r="W198" s="48"/>
      <c r="X198" s="49"/>
      <c r="Y198" s="43"/>
      <c r="Z198" s="49"/>
      <c r="AA198" s="43"/>
      <c r="AB198" s="43"/>
      <c r="AC198" s="49"/>
      <c r="AE198" s="43"/>
      <c r="AF198" s="69"/>
      <c r="AH198" s="151"/>
      <c r="AI198" s="46"/>
      <c r="AJ198" s="138"/>
      <c r="AK198" s="138"/>
      <c r="AL198" s="138"/>
      <c r="AM198" s="42"/>
      <c r="AO198" s="42"/>
      <c r="AQ198" s="43"/>
      <c r="AR198" s="43"/>
      <c r="AS198" s="44"/>
      <c r="AT198" s="152"/>
      <c r="AU198" s="44"/>
      <c r="AW198" s="42"/>
      <c r="AX198" s="42"/>
      <c r="AY198" s="45"/>
      <c r="AZ198" s="47"/>
      <c r="BG198" s="43"/>
      <c r="BI198" s="43"/>
      <c r="BJ198" s="43"/>
      <c r="BK198" s="43"/>
      <c r="BL198" s="43"/>
      <c r="BM198" s="43"/>
      <c r="BO198" s="43"/>
      <c r="BR198" s="43"/>
      <c r="BS198" s="43"/>
      <c r="BW198" s="43"/>
      <c r="CC198" s="43"/>
      <c r="CE198" s="43"/>
      <c r="CF198" s="43"/>
      <c r="CH198" s="43"/>
      <c r="CK198" s="43"/>
    </row>
    <row r="199" spans="2:89" ht="15.75" customHeight="1" x14ac:dyDescent="0.25">
      <c r="B199" s="89"/>
      <c r="C199" s="123"/>
      <c r="D199" s="47"/>
      <c r="E199" s="40"/>
      <c r="F199" s="43"/>
      <c r="G199" s="43"/>
      <c r="H199" s="41"/>
      <c r="I199" s="42"/>
      <c r="J199" s="42"/>
      <c r="K199" s="84"/>
      <c r="L199" s="45"/>
      <c r="M199" s="43"/>
      <c r="N199" s="42"/>
      <c r="O199" s="42"/>
      <c r="P199" s="229"/>
      <c r="Q199" s="42"/>
      <c r="R199" s="42"/>
      <c r="S199" s="42"/>
      <c r="T199" s="42"/>
      <c r="U199" s="67"/>
      <c r="V199" s="220"/>
      <c r="W199" s="48"/>
      <c r="X199" s="49"/>
      <c r="Y199" s="43"/>
      <c r="Z199" s="49"/>
      <c r="AA199" s="43"/>
      <c r="AB199" s="43"/>
      <c r="AC199" s="49"/>
      <c r="AE199" s="43"/>
      <c r="AF199" s="69"/>
      <c r="AI199" s="46"/>
      <c r="AJ199" s="138"/>
      <c r="AK199" s="138"/>
      <c r="AL199" s="138"/>
      <c r="AM199" s="42"/>
      <c r="AO199" s="42"/>
      <c r="AQ199" s="43"/>
      <c r="AR199" s="43"/>
      <c r="AS199" s="44"/>
      <c r="AT199" s="44"/>
      <c r="AU199" s="44"/>
      <c r="AW199" s="42"/>
      <c r="AX199" s="42"/>
      <c r="AY199" s="45"/>
      <c r="AZ199" s="47"/>
      <c r="BG199" s="43"/>
      <c r="BI199" s="43"/>
      <c r="BJ199" s="43"/>
      <c r="BK199" s="43"/>
      <c r="BL199" s="43"/>
      <c r="BM199" s="43"/>
      <c r="BO199" s="43"/>
      <c r="BR199" s="43"/>
      <c r="BS199" s="43"/>
      <c r="BW199" s="43"/>
      <c r="CC199" s="43"/>
      <c r="CE199" s="43"/>
      <c r="CF199" s="43"/>
      <c r="CH199" s="43"/>
      <c r="CK199" s="43"/>
    </row>
    <row r="200" spans="2:89" ht="15.75" customHeight="1" x14ac:dyDescent="0.25">
      <c r="B200" s="89"/>
      <c r="C200" s="123"/>
      <c r="D200" s="47"/>
      <c r="E200" s="40"/>
      <c r="F200" s="43"/>
      <c r="G200" s="43"/>
      <c r="H200" s="41"/>
      <c r="I200" s="42"/>
      <c r="J200" s="42"/>
      <c r="K200" s="84"/>
      <c r="L200" s="45"/>
      <c r="M200" s="43"/>
      <c r="N200" s="42"/>
      <c r="O200" s="42"/>
      <c r="P200" s="229"/>
      <c r="Q200" s="42"/>
      <c r="R200" s="42"/>
      <c r="S200" s="42"/>
      <c r="T200" s="42"/>
      <c r="U200" s="67"/>
      <c r="V200" s="220"/>
      <c r="W200" s="48"/>
      <c r="X200" s="49"/>
      <c r="Y200" s="43"/>
      <c r="Z200" s="49"/>
      <c r="AA200" s="43"/>
      <c r="AB200" s="43"/>
      <c r="AC200" s="49"/>
      <c r="AE200" s="43"/>
      <c r="AF200" s="69"/>
      <c r="AI200" s="46"/>
      <c r="AJ200" s="138"/>
      <c r="AK200" s="138"/>
      <c r="AL200" s="138"/>
      <c r="AM200" s="42"/>
      <c r="AO200" s="42"/>
      <c r="AQ200" s="43"/>
      <c r="AR200" s="43"/>
      <c r="AS200" s="44"/>
      <c r="AT200" s="44"/>
      <c r="AU200" s="44"/>
      <c r="AW200" s="42"/>
      <c r="AX200" s="42"/>
      <c r="AY200" s="45"/>
      <c r="AZ200" s="47"/>
      <c r="BG200" s="43"/>
      <c r="BI200" s="43"/>
      <c r="BJ200" s="43"/>
      <c r="BK200" s="43"/>
      <c r="BL200" s="43"/>
      <c r="BM200" s="43"/>
      <c r="BO200" s="43"/>
      <c r="BR200" s="43"/>
      <c r="BS200" s="43"/>
      <c r="BW200" s="43"/>
      <c r="CC200" s="43"/>
      <c r="CE200" s="43"/>
      <c r="CF200" s="43"/>
      <c r="CH200" s="43"/>
      <c r="CK200" s="43"/>
    </row>
    <row r="201" spans="2:89" x14ac:dyDescent="0.25">
      <c r="B201" s="89"/>
      <c r="C201" s="123"/>
      <c r="D201" s="47"/>
      <c r="E201" s="40"/>
      <c r="F201" s="43"/>
      <c r="G201" s="43"/>
      <c r="H201" s="41"/>
      <c r="I201" s="42"/>
      <c r="J201" s="42"/>
      <c r="K201" s="84"/>
      <c r="L201" s="45"/>
      <c r="M201" s="43"/>
      <c r="N201" s="42"/>
      <c r="O201" s="42"/>
      <c r="P201" s="223"/>
      <c r="Q201" s="42"/>
      <c r="R201" s="42"/>
      <c r="S201" s="42"/>
      <c r="T201" s="42"/>
      <c r="U201" s="67"/>
      <c r="V201" s="220"/>
      <c r="W201" s="48"/>
      <c r="X201" s="49"/>
      <c r="Y201" s="43"/>
      <c r="Z201" s="49"/>
      <c r="AA201" s="43"/>
      <c r="AB201" s="43"/>
      <c r="AC201" s="49"/>
      <c r="AE201" s="43"/>
      <c r="AF201" s="69"/>
      <c r="AH201" s="151"/>
      <c r="AI201" s="46"/>
      <c r="AJ201" s="138"/>
      <c r="AK201" s="138"/>
      <c r="AL201" s="138"/>
      <c r="AM201" s="42"/>
      <c r="AO201" s="42"/>
      <c r="AQ201" s="43"/>
      <c r="AR201" s="43"/>
      <c r="AS201" s="44"/>
      <c r="AT201" s="152"/>
      <c r="AU201" s="44"/>
      <c r="AW201" s="42"/>
      <c r="AX201" s="42"/>
      <c r="AY201" s="45"/>
      <c r="AZ201" s="47"/>
      <c r="BG201" s="43"/>
      <c r="BI201" s="43"/>
      <c r="BJ201" s="43"/>
      <c r="BK201" s="43"/>
      <c r="BL201" s="43"/>
      <c r="BM201" s="43"/>
      <c r="BO201" s="43"/>
      <c r="BR201" s="43"/>
      <c r="BS201" s="43"/>
      <c r="BW201" s="43"/>
      <c r="CC201" s="43"/>
      <c r="CE201" s="43"/>
      <c r="CF201" s="43"/>
      <c r="CH201" s="43"/>
      <c r="CK201" s="43"/>
    </row>
    <row r="202" spans="2:89" x14ac:dyDescent="0.25">
      <c r="B202" s="89"/>
      <c r="C202" s="123"/>
      <c r="D202" s="47"/>
      <c r="E202" s="40"/>
      <c r="F202" s="43"/>
      <c r="G202" s="43"/>
      <c r="H202" s="41"/>
      <c r="I202" s="42"/>
      <c r="J202" s="42"/>
      <c r="K202" s="84"/>
      <c r="L202" s="45"/>
      <c r="M202" s="43"/>
      <c r="N202" s="42"/>
      <c r="O202" s="42"/>
      <c r="P202" s="229"/>
      <c r="Q202" s="42"/>
      <c r="R202" s="42"/>
      <c r="S202" s="42"/>
      <c r="T202" s="42"/>
      <c r="U202" s="67"/>
      <c r="V202" s="220"/>
      <c r="W202" s="48"/>
      <c r="X202" s="49"/>
      <c r="Y202" s="43"/>
      <c r="Z202" s="49"/>
      <c r="AA202" s="43"/>
      <c r="AB202" s="43"/>
      <c r="AC202" s="49"/>
      <c r="AE202" s="43"/>
      <c r="AF202" s="69"/>
      <c r="AI202" s="46"/>
      <c r="AJ202" s="138"/>
      <c r="AK202" s="138"/>
      <c r="AL202" s="138"/>
      <c r="AM202" s="42"/>
      <c r="AO202" s="42"/>
      <c r="AQ202" s="43"/>
      <c r="AR202" s="43"/>
      <c r="AS202" s="44"/>
      <c r="AT202" s="44"/>
      <c r="AU202" s="44"/>
      <c r="AW202" s="42"/>
      <c r="AX202" s="42"/>
      <c r="AY202" s="45"/>
      <c r="AZ202" s="47"/>
      <c r="BG202" s="43"/>
      <c r="BI202" s="43"/>
      <c r="BJ202" s="43"/>
      <c r="BK202" s="43"/>
      <c r="BL202" s="43"/>
      <c r="BM202" s="43"/>
      <c r="BO202" s="43"/>
      <c r="BR202" s="43"/>
      <c r="BS202" s="43"/>
      <c r="BW202" s="43"/>
      <c r="CC202" s="43"/>
      <c r="CE202" s="43"/>
      <c r="CF202" s="43"/>
      <c r="CH202" s="43"/>
      <c r="CK202" s="43"/>
    </row>
    <row r="203" spans="2:89" ht="15.75" customHeight="1" x14ac:dyDescent="0.25">
      <c r="B203" s="89"/>
      <c r="C203" s="123"/>
      <c r="D203" s="47"/>
      <c r="E203" s="40"/>
      <c r="F203" s="43"/>
      <c r="G203" s="43"/>
      <c r="H203" s="41"/>
      <c r="I203" s="42"/>
      <c r="J203" s="42"/>
      <c r="K203" s="84"/>
      <c r="L203" s="45"/>
      <c r="M203" s="43"/>
      <c r="N203" s="42"/>
      <c r="O203" s="42"/>
      <c r="P203" s="42"/>
      <c r="Q203" s="42"/>
      <c r="R203" s="42"/>
      <c r="S203" s="42"/>
      <c r="T203" s="42"/>
      <c r="U203" s="67"/>
      <c r="V203" s="220"/>
      <c r="W203" s="48"/>
      <c r="X203" s="49"/>
      <c r="Y203" s="43"/>
      <c r="Z203" s="49"/>
      <c r="AA203" s="43"/>
      <c r="AB203" s="43"/>
      <c r="AC203" s="49"/>
      <c r="AE203" s="43"/>
      <c r="AF203" s="69"/>
      <c r="AI203" s="46"/>
      <c r="AJ203" s="138"/>
      <c r="AK203" s="138"/>
      <c r="AL203" s="138"/>
      <c r="AM203" s="42"/>
      <c r="AO203" s="42"/>
      <c r="AQ203" s="43"/>
      <c r="AR203" s="43"/>
      <c r="AS203" s="44"/>
      <c r="AT203" s="44"/>
      <c r="AU203" s="44"/>
      <c r="AW203" s="42"/>
      <c r="AX203" s="42"/>
      <c r="AY203" s="45"/>
      <c r="AZ203" s="47"/>
      <c r="BG203" s="43"/>
      <c r="BI203" s="43"/>
      <c r="BJ203" s="43"/>
      <c r="BK203" s="43"/>
      <c r="BL203" s="43"/>
      <c r="BM203" s="43"/>
      <c r="BO203" s="43"/>
      <c r="BR203" s="43"/>
      <c r="BS203" s="43"/>
      <c r="BW203" s="43"/>
      <c r="CC203" s="43"/>
      <c r="CE203" s="43"/>
      <c r="CF203" s="43"/>
      <c r="CH203" s="43"/>
      <c r="CK203" s="43"/>
    </row>
    <row r="204" spans="2:89" x14ac:dyDescent="0.25">
      <c r="B204" s="89"/>
      <c r="C204" s="123"/>
      <c r="D204" s="47"/>
      <c r="E204" s="40"/>
      <c r="F204" s="43"/>
      <c r="G204" s="43"/>
      <c r="H204" s="41"/>
      <c r="I204" s="205"/>
      <c r="J204" s="42"/>
      <c r="K204" s="84"/>
      <c r="L204" s="45"/>
      <c r="M204" s="43"/>
      <c r="N204" s="42"/>
      <c r="O204" s="42"/>
      <c r="P204" s="223"/>
      <c r="Q204" s="42"/>
      <c r="R204" s="42"/>
      <c r="S204" s="42"/>
      <c r="T204" s="42"/>
      <c r="U204" s="67"/>
      <c r="V204" s="220"/>
      <c r="W204" s="48"/>
      <c r="X204" s="49"/>
      <c r="Y204" s="43"/>
      <c r="Z204" s="49"/>
      <c r="AA204" s="43"/>
      <c r="AB204" s="43"/>
      <c r="AC204" s="49"/>
      <c r="AE204" s="43"/>
      <c r="AF204" s="69"/>
      <c r="AH204" s="150"/>
      <c r="AI204" s="46"/>
      <c r="AJ204" s="138"/>
      <c r="AK204" s="138"/>
      <c r="AL204" s="138"/>
      <c r="AM204" s="42"/>
      <c r="AO204" s="42"/>
      <c r="AQ204" s="43"/>
      <c r="AR204" s="43"/>
      <c r="AS204" s="44"/>
      <c r="AT204" s="152"/>
      <c r="AU204" s="44"/>
      <c r="AW204" s="42"/>
      <c r="AX204" s="42"/>
      <c r="AY204" s="45"/>
      <c r="AZ204" s="47"/>
      <c r="BG204" s="43"/>
      <c r="BI204" s="43"/>
      <c r="BJ204" s="43"/>
      <c r="BK204" s="43"/>
      <c r="BL204" s="43"/>
      <c r="BM204" s="43"/>
      <c r="BO204" s="43"/>
      <c r="BR204" s="43"/>
      <c r="BS204" s="43"/>
      <c r="BW204" s="43"/>
      <c r="CC204" s="43"/>
      <c r="CE204" s="43"/>
      <c r="CF204" s="43"/>
      <c r="CH204" s="43"/>
      <c r="CK204" s="43"/>
    </row>
    <row r="205" spans="2:89" x14ac:dyDescent="0.25">
      <c r="B205" s="89"/>
      <c r="C205" s="125"/>
      <c r="D205" s="47"/>
      <c r="E205" s="40"/>
      <c r="F205" s="43"/>
      <c r="G205" s="43"/>
      <c r="H205" s="41"/>
      <c r="I205" s="116"/>
      <c r="J205" s="116"/>
      <c r="K205" s="84"/>
      <c r="L205" s="115"/>
      <c r="M205" s="43"/>
      <c r="N205" s="42"/>
      <c r="O205" s="42"/>
      <c r="P205" s="229"/>
      <c r="Q205" s="42"/>
      <c r="R205" s="42"/>
      <c r="S205" s="105"/>
      <c r="T205" s="105"/>
      <c r="U205" s="118"/>
      <c r="V205" s="222"/>
      <c r="W205" s="117"/>
      <c r="X205" s="119"/>
      <c r="Y205" s="106"/>
      <c r="Z205" s="119"/>
      <c r="AA205" s="106"/>
      <c r="AB205" s="106"/>
      <c r="AC205" s="119"/>
      <c r="AD205" s="106"/>
      <c r="AE205" s="106"/>
      <c r="AF205" s="120"/>
      <c r="AG205" s="106"/>
      <c r="AI205" s="46"/>
      <c r="AJ205" s="140"/>
      <c r="AK205" s="138"/>
      <c r="AL205" s="140"/>
      <c r="AM205" s="105"/>
      <c r="AN205" s="105"/>
      <c r="AO205" s="105"/>
      <c r="AP205" s="105"/>
      <c r="AQ205" s="43"/>
      <c r="AR205" s="43"/>
      <c r="AS205" s="44"/>
      <c r="AT205" s="44"/>
      <c r="AU205" s="44"/>
      <c r="AV205" s="106"/>
      <c r="AW205" s="105"/>
      <c r="AX205" s="105"/>
      <c r="AY205" s="115"/>
      <c r="AZ205" s="121"/>
      <c r="BG205" s="43"/>
      <c r="BI205" s="43"/>
      <c r="BJ205" s="43"/>
      <c r="BK205" s="43"/>
      <c r="BL205" s="43"/>
      <c r="BM205" s="43"/>
      <c r="BO205" s="43"/>
      <c r="BR205" s="43"/>
      <c r="BS205" s="43"/>
      <c r="BW205" s="43"/>
      <c r="CC205" s="43"/>
      <c r="CE205" s="43"/>
      <c r="CF205" s="43"/>
      <c r="CH205" s="43"/>
      <c r="CK205" s="43"/>
    </row>
    <row r="206" spans="2:89" x14ac:dyDescent="0.25">
      <c r="B206" s="89"/>
      <c r="C206" s="123"/>
      <c r="D206" s="47"/>
      <c r="E206" s="40"/>
      <c r="F206" s="43"/>
      <c r="G206" s="43"/>
      <c r="H206" s="41"/>
      <c r="I206" s="42"/>
      <c r="J206" s="42"/>
      <c r="K206" s="84"/>
      <c r="L206" s="45"/>
      <c r="M206" s="43"/>
      <c r="N206" s="42"/>
      <c r="O206" s="42"/>
      <c r="P206" s="229"/>
      <c r="Q206" s="42"/>
      <c r="R206" s="42"/>
      <c r="S206" s="42"/>
      <c r="T206" s="42"/>
      <c r="U206" s="67"/>
      <c r="V206" s="220"/>
      <c r="W206" s="48"/>
      <c r="X206" s="49"/>
      <c r="Y206" s="43"/>
      <c r="Z206" s="49"/>
      <c r="AA206" s="43"/>
      <c r="AB206" s="43"/>
      <c r="AC206" s="49"/>
      <c r="AE206" s="43"/>
      <c r="AF206" s="69"/>
      <c r="AH206" s="44"/>
      <c r="AI206" s="46"/>
      <c r="AJ206" s="138"/>
      <c r="AK206" s="138"/>
      <c r="AL206" s="138"/>
      <c r="AM206" s="42"/>
      <c r="AO206" s="42"/>
      <c r="AQ206" s="43"/>
      <c r="AR206" s="43"/>
      <c r="AS206" s="44"/>
      <c r="AT206" s="44"/>
      <c r="AU206" s="44"/>
      <c r="AW206" s="42"/>
      <c r="AX206" s="42"/>
      <c r="AY206" s="45"/>
      <c r="AZ206" s="47"/>
      <c r="BG206" s="43"/>
      <c r="BI206" s="43"/>
      <c r="BJ206" s="43"/>
      <c r="BK206" s="43"/>
      <c r="BL206" s="43"/>
      <c r="BM206" s="43"/>
      <c r="BO206" s="43"/>
      <c r="BR206" s="43"/>
      <c r="BS206" s="43"/>
      <c r="BW206" s="43"/>
      <c r="CC206" s="43"/>
      <c r="CE206" s="43"/>
      <c r="CF206" s="43"/>
      <c r="CH206" s="43"/>
      <c r="CK206" s="43"/>
    </row>
    <row r="207" spans="2:89" x14ac:dyDescent="0.25">
      <c r="B207" s="89"/>
      <c r="C207" s="123"/>
      <c r="D207" s="47"/>
      <c r="E207" s="40"/>
      <c r="F207" s="43"/>
      <c r="G207" s="43"/>
      <c r="H207" s="41"/>
      <c r="I207" s="42"/>
      <c r="J207" s="42"/>
      <c r="K207" s="84"/>
      <c r="L207" s="45"/>
      <c r="M207" s="43"/>
      <c r="N207" s="42"/>
      <c r="O207" s="42"/>
      <c r="P207" s="223"/>
      <c r="Q207" s="42"/>
      <c r="R207" s="42"/>
      <c r="S207" s="42"/>
      <c r="T207" s="42"/>
      <c r="U207" s="67"/>
      <c r="V207" s="220"/>
      <c r="W207" s="48"/>
      <c r="X207" s="49"/>
      <c r="Y207" s="43"/>
      <c r="Z207" s="49"/>
      <c r="AA207" s="43"/>
      <c r="AB207" s="43"/>
      <c r="AC207" s="49"/>
      <c r="AE207" s="43"/>
      <c r="AF207" s="69"/>
      <c r="AI207" s="46"/>
      <c r="AJ207" s="138"/>
      <c r="AK207" s="138"/>
      <c r="AL207" s="138"/>
      <c r="AM207" s="42"/>
      <c r="AO207" s="42"/>
      <c r="AQ207" s="43"/>
      <c r="AR207" s="43"/>
      <c r="AS207" s="44"/>
      <c r="AT207" s="44"/>
      <c r="AU207" s="44"/>
      <c r="AW207" s="42"/>
      <c r="AX207" s="42"/>
      <c r="AY207" s="45"/>
      <c r="AZ207" s="47"/>
      <c r="BG207" s="43"/>
      <c r="BI207" s="43"/>
      <c r="BJ207" s="43"/>
      <c r="BK207" s="43"/>
      <c r="BL207" s="43"/>
      <c r="BM207" s="43"/>
      <c r="BO207" s="43"/>
      <c r="BR207" s="43"/>
      <c r="BS207" s="43"/>
      <c r="BW207" s="43"/>
      <c r="CC207" s="43"/>
      <c r="CE207" s="43"/>
      <c r="CF207" s="43"/>
      <c r="CH207" s="43"/>
      <c r="CK207" s="43"/>
    </row>
    <row r="208" spans="2:89" x14ac:dyDescent="0.25">
      <c r="B208" s="89"/>
      <c r="C208" s="123"/>
      <c r="D208" s="47"/>
      <c r="E208" s="40"/>
      <c r="F208" s="43"/>
      <c r="G208" s="43"/>
      <c r="H208" s="41"/>
      <c r="I208" s="42"/>
      <c r="J208" s="42"/>
      <c r="K208" s="84"/>
      <c r="L208" s="45"/>
      <c r="M208" s="43"/>
      <c r="N208" s="42"/>
      <c r="O208" s="42"/>
      <c r="P208" s="223"/>
      <c r="Q208" s="42"/>
      <c r="R208" s="42"/>
      <c r="S208" s="42"/>
      <c r="T208" s="42"/>
      <c r="U208" s="67"/>
      <c r="V208" s="220"/>
      <c r="W208" s="48"/>
      <c r="X208" s="49"/>
      <c r="Y208" s="43"/>
      <c r="Z208" s="49"/>
      <c r="AA208" s="43"/>
      <c r="AB208" s="43"/>
      <c r="AC208" s="49"/>
      <c r="AE208" s="43"/>
      <c r="AF208" s="69"/>
      <c r="AI208" s="46"/>
      <c r="AJ208" s="138"/>
      <c r="AK208" s="138"/>
      <c r="AL208" s="138"/>
      <c r="AM208" s="42"/>
      <c r="AO208" s="42"/>
      <c r="AQ208" s="43"/>
      <c r="AR208" s="43"/>
      <c r="AS208" s="44"/>
      <c r="AT208" s="44"/>
      <c r="AU208" s="44"/>
      <c r="AW208" s="42"/>
      <c r="AX208" s="42"/>
      <c r="AY208" s="45"/>
      <c r="AZ208" s="47"/>
      <c r="BG208" s="43"/>
      <c r="BI208" s="43"/>
      <c r="BJ208" s="43"/>
      <c r="BK208" s="43"/>
      <c r="BL208" s="43"/>
      <c r="BM208" s="43"/>
      <c r="BO208" s="43"/>
      <c r="BR208" s="43"/>
      <c r="BS208" s="43"/>
      <c r="BW208" s="43"/>
      <c r="CC208" s="43"/>
      <c r="CE208" s="43"/>
      <c r="CF208" s="43"/>
      <c r="CH208" s="43"/>
      <c r="CK208" s="43"/>
    </row>
    <row r="209" spans="2:89" x14ac:dyDescent="0.25">
      <c r="B209" s="89"/>
      <c r="C209" s="123"/>
      <c r="D209" s="47"/>
      <c r="E209" s="40"/>
      <c r="F209" s="43"/>
      <c r="G209" s="43"/>
      <c r="H209" s="41"/>
      <c r="I209" s="42"/>
      <c r="J209" s="42"/>
      <c r="K209" s="84"/>
      <c r="L209" s="45"/>
      <c r="M209" s="43"/>
      <c r="N209" s="42"/>
      <c r="O209" s="42"/>
      <c r="P209" s="129"/>
      <c r="Q209" s="42"/>
      <c r="R209" s="42"/>
      <c r="S209" s="42"/>
      <c r="T209" s="42"/>
      <c r="U209" s="67"/>
      <c r="V209" s="220"/>
      <c r="W209" s="48"/>
      <c r="X209" s="49"/>
      <c r="Y209" s="43"/>
      <c r="Z209" s="49"/>
      <c r="AA209" s="43"/>
      <c r="AB209" s="43"/>
      <c r="AC209" s="49"/>
      <c r="AE209" s="43"/>
      <c r="AF209" s="69"/>
      <c r="AI209" s="46"/>
      <c r="AJ209" s="138"/>
      <c r="AK209" s="138"/>
      <c r="AL209" s="138"/>
      <c r="AM209" s="42"/>
      <c r="AO209" s="42"/>
      <c r="AQ209" s="43"/>
      <c r="AR209" s="43"/>
      <c r="AS209" s="44"/>
      <c r="AT209" s="44"/>
      <c r="AU209" s="44"/>
      <c r="AW209" s="42"/>
      <c r="AX209" s="42"/>
      <c r="AY209" s="45"/>
      <c r="AZ209" s="47"/>
      <c r="BG209" s="43"/>
      <c r="BI209" s="43"/>
      <c r="BJ209" s="43"/>
      <c r="BK209" s="43"/>
      <c r="BL209" s="43"/>
      <c r="BM209" s="43"/>
      <c r="BO209" s="43"/>
      <c r="BR209" s="43"/>
      <c r="BS209" s="43"/>
      <c r="BW209" s="43"/>
      <c r="CC209" s="43"/>
      <c r="CE209" s="43"/>
      <c r="CF209" s="43"/>
      <c r="CH209" s="43"/>
      <c r="CK209" s="43"/>
    </row>
    <row r="210" spans="2:89" ht="15.75" customHeight="1" x14ac:dyDescent="0.25">
      <c r="B210" s="89"/>
      <c r="C210" s="123"/>
      <c r="D210" s="47"/>
      <c r="E210" s="40"/>
      <c r="F210" s="43"/>
      <c r="G210" s="43"/>
      <c r="H210" s="41"/>
      <c r="I210" s="42"/>
      <c r="J210" s="42"/>
      <c r="K210" s="84"/>
      <c r="L210" s="45"/>
      <c r="M210" s="43"/>
      <c r="N210" s="42"/>
      <c r="O210" s="42"/>
      <c r="P210" s="229"/>
      <c r="Q210" s="42"/>
      <c r="R210" s="42"/>
      <c r="S210" s="42"/>
      <c r="T210" s="42"/>
      <c r="U210" s="67"/>
      <c r="V210" s="220"/>
      <c r="W210" s="48"/>
      <c r="X210" s="49"/>
      <c r="Y210" s="43"/>
      <c r="Z210" s="49"/>
      <c r="AA210" s="43"/>
      <c r="AB210" s="43"/>
      <c r="AC210" s="49"/>
      <c r="AE210" s="43"/>
      <c r="AF210" s="69"/>
      <c r="AI210" s="46"/>
      <c r="AJ210" s="138"/>
      <c r="AK210" s="138"/>
      <c r="AL210" s="138"/>
      <c r="AM210" s="42"/>
      <c r="AO210" s="42"/>
      <c r="AQ210" s="43"/>
      <c r="AR210" s="43"/>
      <c r="AS210" s="44"/>
      <c r="AT210" s="44"/>
      <c r="AU210" s="44"/>
      <c r="AW210" s="42"/>
      <c r="AX210" s="42"/>
      <c r="AY210" s="45"/>
      <c r="AZ210" s="47"/>
      <c r="BG210" s="43"/>
      <c r="BI210" s="43"/>
      <c r="BJ210" s="43"/>
      <c r="BK210" s="43"/>
      <c r="BL210" s="43"/>
      <c r="BM210" s="43"/>
      <c r="BO210" s="43"/>
      <c r="BR210" s="43"/>
      <c r="BS210" s="43"/>
      <c r="BW210" s="43"/>
      <c r="CC210" s="43"/>
      <c r="CE210" s="43"/>
      <c r="CF210" s="43"/>
      <c r="CH210" s="43"/>
      <c r="CK210" s="43"/>
    </row>
    <row r="211" spans="2:89" x14ac:dyDescent="0.25">
      <c r="B211" s="89"/>
      <c r="C211" s="123"/>
      <c r="D211" s="47"/>
      <c r="E211" s="40"/>
      <c r="F211" s="43"/>
      <c r="G211" s="43"/>
      <c r="H211" s="41"/>
      <c r="I211" s="42"/>
      <c r="J211" s="42"/>
      <c r="K211" s="84"/>
      <c r="L211" s="45"/>
      <c r="M211" s="43"/>
      <c r="N211" s="42"/>
      <c r="O211" s="42"/>
      <c r="P211" s="223"/>
      <c r="Q211" s="42"/>
      <c r="R211" s="42"/>
      <c r="S211" s="42"/>
      <c r="T211" s="42"/>
      <c r="U211" s="67"/>
      <c r="V211" s="220"/>
      <c r="W211" s="48"/>
      <c r="X211" s="49"/>
      <c r="Y211" s="43"/>
      <c r="Z211" s="49"/>
      <c r="AA211" s="43"/>
      <c r="AB211" s="43"/>
      <c r="AC211" s="49"/>
      <c r="AE211" s="43"/>
      <c r="AF211" s="69"/>
      <c r="AI211" s="46"/>
      <c r="AJ211" s="138"/>
      <c r="AK211" s="138"/>
      <c r="AL211" s="138"/>
      <c r="AM211" s="42"/>
      <c r="AO211" s="42"/>
      <c r="AQ211" s="43"/>
      <c r="AR211" s="43"/>
      <c r="AS211" s="44"/>
      <c r="AT211" s="44"/>
      <c r="AU211" s="44"/>
      <c r="AW211" s="42"/>
      <c r="AX211" s="42"/>
      <c r="AY211" s="45"/>
      <c r="AZ211" s="47"/>
      <c r="BG211" s="43"/>
      <c r="BI211" s="43"/>
      <c r="BJ211" s="43"/>
      <c r="BK211" s="43"/>
      <c r="BL211" s="43"/>
      <c r="BM211" s="43"/>
      <c r="BO211" s="43"/>
      <c r="BR211" s="43"/>
      <c r="BS211" s="43"/>
      <c r="BW211" s="43"/>
      <c r="CC211" s="43"/>
      <c r="CE211" s="43"/>
      <c r="CF211" s="43"/>
      <c r="CH211" s="43"/>
      <c r="CK211" s="43"/>
    </row>
    <row r="212" spans="2:89" x14ac:dyDescent="0.25">
      <c r="B212" s="89"/>
      <c r="C212" s="123"/>
      <c r="D212" s="47"/>
      <c r="E212" s="40"/>
      <c r="F212" s="43"/>
      <c r="G212" s="43"/>
      <c r="H212" s="41"/>
      <c r="I212" s="42"/>
      <c r="J212" s="42"/>
      <c r="K212" s="84"/>
      <c r="L212" s="45"/>
      <c r="M212" s="43"/>
      <c r="N212" s="42"/>
      <c r="O212" s="42"/>
      <c r="P212" s="223"/>
      <c r="Q212" s="42"/>
      <c r="R212" s="42"/>
      <c r="S212" s="42"/>
      <c r="T212" s="42"/>
      <c r="U212" s="67"/>
      <c r="V212" s="220"/>
      <c r="W212" s="48"/>
      <c r="X212" s="49"/>
      <c r="Y212" s="43"/>
      <c r="Z212" s="49"/>
      <c r="AA212" s="43"/>
      <c r="AB212" s="43"/>
      <c r="AC212" s="49"/>
      <c r="AE212" s="43"/>
      <c r="AF212" s="69"/>
      <c r="AI212" s="46"/>
      <c r="AJ212" s="138"/>
      <c r="AK212" s="138"/>
      <c r="AL212" s="138"/>
      <c r="AM212" s="42"/>
      <c r="AO212" s="42"/>
      <c r="AQ212" s="43"/>
      <c r="AR212" s="43"/>
      <c r="AS212" s="44"/>
      <c r="AT212" s="44"/>
      <c r="AU212" s="44"/>
      <c r="AW212" s="42"/>
      <c r="AX212" s="42"/>
      <c r="AY212" s="45"/>
      <c r="AZ212" s="47"/>
      <c r="BG212" s="43"/>
      <c r="BI212" s="43"/>
      <c r="BJ212" s="43"/>
      <c r="BK212" s="43"/>
      <c r="BL212" s="43"/>
      <c r="BM212" s="43"/>
      <c r="BO212" s="43"/>
      <c r="BR212" s="43"/>
      <c r="BS212" s="43"/>
      <c r="BW212" s="43"/>
      <c r="CC212" s="43"/>
      <c r="CE212" s="43"/>
      <c r="CF212" s="43"/>
      <c r="CH212" s="43"/>
      <c r="CK212" s="43"/>
    </row>
    <row r="213" spans="2:89" x14ac:dyDescent="0.25">
      <c r="B213" s="89"/>
      <c r="C213" s="123"/>
      <c r="D213" s="47"/>
      <c r="E213" s="40"/>
      <c r="F213" s="43"/>
      <c r="G213" s="43"/>
      <c r="H213" s="41"/>
      <c r="I213" s="42"/>
      <c r="J213" s="42"/>
      <c r="K213" s="84"/>
      <c r="L213" s="45"/>
      <c r="M213" s="43"/>
      <c r="N213" s="42"/>
      <c r="O213" s="42"/>
      <c r="P213" s="229"/>
      <c r="Q213" s="42"/>
      <c r="R213" s="42"/>
      <c r="S213" s="42"/>
      <c r="T213" s="42"/>
      <c r="U213" s="67"/>
      <c r="V213" s="220"/>
      <c r="W213" s="48"/>
      <c r="X213" s="49"/>
      <c r="Y213" s="43"/>
      <c r="Z213" s="49"/>
      <c r="AA213" s="43"/>
      <c r="AB213" s="43"/>
      <c r="AC213" s="49"/>
      <c r="AE213" s="43"/>
      <c r="AF213" s="69"/>
      <c r="AI213" s="46"/>
      <c r="AJ213" s="138"/>
      <c r="AK213" s="138"/>
      <c r="AL213" s="138"/>
      <c r="AM213" s="42"/>
      <c r="AO213" s="42"/>
      <c r="AQ213" s="43"/>
      <c r="AR213" s="43"/>
      <c r="AS213" s="44"/>
      <c r="AT213" s="44"/>
      <c r="AU213" s="44"/>
      <c r="AW213" s="42"/>
      <c r="AX213" s="42"/>
      <c r="AY213" s="45"/>
      <c r="AZ213" s="47"/>
      <c r="BG213" s="43"/>
      <c r="BI213" s="43"/>
      <c r="BJ213" s="43"/>
      <c r="BK213" s="43"/>
      <c r="BL213" s="43"/>
      <c r="BM213" s="43"/>
      <c r="BO213" s="43"/>
      <c r="BR213" s="43"/>
      <c r="BS213" s="43"/>
      <c r="BW213" s="43"/>
      <c r="CC213" s="43"/>
      <c r="CE213" s="43"/>
      <c r="CF213" s="43"/>
      <c r="CH213" s="43"/>
      <c r="CK213" s="43"/>
    </row>
    <row r="214" spans="2:89" x14ac:dyDescent="0.25">
      <c r="B214" s="89"/>
      <c r="C214" s="123"/>
      <c r="D214" s="47"/>
      <c r="E214" s="40"/>
      <c r="F214" s="43"/>
      <c r="G214" s="43"/>
      <c r="H214" s="41"/>
      <c r="I214" s="42"/>
      <c r="J214" s="42"/>
      <c r="K214" s="84"/>
      <c r="L214" s="45"/>
      <c r="M214" s="43"/>
      <c r="N214" s="42"/>
      <c r="O214" s="42"/>
      <c r="P214" s="223"/>
      <c r="Q214" s="42"/>
      <c r="R214" s="42"/>
      <c r="S214" s="42"/>
      <c r="T214" s="42"/>
      <c r="U214" s="67"/>
      <c r="V214" s="220"/>
      <c r="W214" s="48"/>
      <c r="X214" s="49"/>
      <c r="Y214" s="43"/>
      <c r="Z214" s="49"/>
      <c r="AA214" s="43"/>
      <c r="AB214" s="43"/>
      <c r="AC214" s="49"/>
      <c r="AE214" s="43"/>
      <c r="AF214" s="69"/>
      <c r="AI214" s="46"/>
      <c r="AJ214" s="138"/>
      <c r="AK214" s="138"/>
      <c r="AL214" s="138"/>
      <c r="AM214" s="42"/>
      <c r="AO214" s="42"/>
      <c r="AQ214" s="43"/>
      <c r="AR214" s="43"/>
      <c r="AS214" s="44"/>
      <c r="AT214" s="44"/>
      <c r="AU214" s="44"/>
      <c r="AW214" s="42"/>
      <c r="AX214" s="42"/>
      <c r="AY214" s="45"/>
      <c r="AZ214" s="47"/>
      <c r="BG214" s="43"/>
      <c r="BI214" s="43"/>
      <c r="BJ214" s="43"/>
      <c r="BK214" s="43"/>
      <c r="BL214" s="43"/>
      <c r="BM214" s="43"/>
      <c r="BO214" s="43"/>
      <c r="BR214" s="43"/>
      <c r="BS214" s="43"/>
      <c r="BW214" s="43"/>
      <c r="CC214" s="43"/>
      <c r="CE214" s="43"/>
      <c r="CF214" s="43"/>
      <c r="CH214" s="43"/>
      <c r="CK214" s="43"/>
    </row>
    <row r="215" spans="2:89" x14ac:dyDescent="0.25">
      <c r="B215" s="89"/>
      <c r="C215" s="123"/>
      <c r="D215" s="47"/>
      <c r="E215" s="40"/>
      <c r="F215" s="43"/>
      <c r="G215" s="43"/>
      <c r="H215" s="41"/>
      <c r="I215" s="42"/>
      <c r="J215" s="42"/>
      <c r="K215" s="84"/>
      <c r="L215" s="45"/>
      <c r="M215" s="43"/>
      <c r="N215" s="42"/>
      <c r="O215" s="42"/>
      <c r="P215" s="229"/>
      <c r="Q215" s="42"/>
      <c r="R215" s="42"/>
      <c r="S215" s="42"/>
      <c r="T215" s="42"/>
      <c r="U215" s="67"/>
      <c r="V215" s="220"/>
      <c r="W215" s="48"/>
      <c r="X215" s="49"/>
      <c r="Y215" s="43"/>
      <c r="Z215" s="49"/>
      <c r="AA215" s="43"/>
      <c r="AB215" s="43"/>
      <c r="AC215" s="49"/>
      <c r="AE215" s="43"/>
      <c r="AF215" s="69"/>
      <c r="AI215" s="46"/>
      <c r="AJ215" s="138"/>
      <c r="AK215" s="138"/>
      <c r="AL215" s="138"/>
      <c r="AM215" s="42"/>
      <c r="AO215" s="42"/>
      <c r="AQ215" s="43"/>
      <c r="AR215" s="43"/>
      <c r="AS215" s="44"/>
      <c r="AT215" s="44"/>
      <c r="AU215" s="44"/>
      <c r="AW215" s="42"/>
      <c r="AX215" s="42"/>
      <c r="AY215" s="45"/>
      <c r="AZ215" s="47"/>
      <c r="BG215" s="43"/>
      <c r="BI215" s="43"/>
      <c r="BJ215" s="43"/>
      <c r="BK215" s="43"/>
      <c r="BL215" s="43"/>
      <c r="BM215" s="43"/>
      <c r="BO215" s="43"/>
      <c r="BR215" s="43"/>
      <c r="BS215" s="43"/>
      <c r="BW215" s="43"/>
      <c r="CC215" s="43"/>
      <c r="CE215" s="43"/>
      <c r="CF215" s="43"/>
      <c r="CH215" s="43"/>
      <c r="CK215" s="43"/>
    </row>
    <row r="216" spans="2:89" x14ac:dyDescent="0.25">
      <c r="B216" s="89"/>
      <c r="C216" s="123"/>
      <c r="D216" s="47"/>
      <c r="E216" s="40"/>
      <c r="F216" s="43"/>
      <c r="G216" s="43"/>
      <c r="H216" s="41"/>
      <c r="I216" s="42"/>
      <c r="J216" s="42"/>
      <c r="K216" s="84"/>
      <c r="L216" s="45"/>
      <c r="M216" s="43"/>
      <c r="N216" s="42"/>
      <c r="O216" s="42"/>
      <c r="Q216" s="42"/>
      <c r="R216" s="42"/>
      <c r="S216" s="42"/>
      <c r="T216" s="42"/>
      <c r="U216" s="67"/>
      <c r="V216" s="220"/>
      <c r="W216" s="48"/>
      <c r="X216" s="49"/>
      <c r="Y216" s="43"/>
      <c r="Z216" s="49"/>
      <c r="AA216" s="43"/>
      <c r="AB216" s="43"/>
      <c r="AC216" s="49"/>
      <c r="AE216" s="43"/>
      <c r="AF216" s="69"/>
      <c r="AI216" s="46"/>
      <c r="AJ216" s="138"/>
      <c r="AK216" s="138"/>
      <c r="AL216" s="138"/>
      <c r="AM216" s="42"/>
      <c r="AO216" s="42"/>
      <c r="AQ216" s="43"/>
      <c r="AR216" s="43"/>
      <c r="AS216" s="44"/>
      <c r="AT216" s="44"/>
      <c r="AU216" s="44"/>
      <c r="AW216" s="42"/>
      <c r="AX216" s="42"/>
      <c r="AY216" s="45"/>
      <c r="AZ216" s="47"/>
      <c r="BG216" s="43"/>
      <c r="BI216" s="43"/>
      <c r="BJ216" s="43"/>
      <c r="BK216" s="43"/>
      <c r="BL216" s="43"/>
      <c r="BM216" s="43"/>
      <c r="BO216" s="43"/>
      <c r="BR216" s="43"/>
      <c r="BS216" s="43"/>
      <c r="BW216" s="43"/>
      <c r="CC216" s="43"/>
      <c r="CE216" s="43"/>
      <c r="CF216" s="43"/>
      <c r="CH216" s="43"/>
      <c r="CK216" s="43"/>
    </row>
    <row r="217" spans="2:89" x14ac:dyDescent="0.25">
      <c r="B217" s="89"/>
      <c r="C217" s="123"/>
      <c r="D217" s="47"/>
      <c r="E217" s="40"/>
      <c r="F217" s="43"/>
      <c r="G217" s="43"/>
      <c r="H217" s="41"/>
      <c r="I217" s="182"/>
      <c r="J217" s="42"/>
      <c r="K217" s="84"/>
      <c r="L217" s="45"/>
      <c r="M217" s="43"/>
      <c r="N217" s="42"/>
      <c r="O217" s="42"/>
      <c r="P217" s="232"/>
      <c r="Q217" s="42"/>
      <c r="R217" s="42"/>
      <c r="S217" s="42"/>
      <c r="T217" s="42"/>
      <c r="U217" s="67"/>
      <c r="V217" s="220"/>
      <c r="W217" s="48"/>
      <c r="X217" s="49"/>
      <c r="Y217" s="43"/>
      <c r="Z217" s="49"/>
      <c r="AA217" s="43"/>
      <c r="AB217" s="43"/>
      <c r="AC217" s="49"/>
      <c r="AE217" s="43"/>
      <c r="AF217" s="69"/>
      <c r="AH217" s="150"/>
      <c r="AI217" s="46"/>
      <c r="AJ217" s="138"/>
      <c r="AK217" s="138"/>
      <c r="AL217" s="138"/>
      <c r="AM217" s="42"/>
      <c r="AO217" s="42"/>
      <c r="AQ217" s="43"/>
      <c r="AR217" s="43"/>
      <c r="AS217" s="44"/>
      <c r="AT217" s="152"/>
      <c r="AU217" s="44"/>
      <c r="AW217" s="42"/>
      <c r="AX217" s="42"/>
      <c r="AY217" s="45"/>
      <c r="AZ217" s="47"/>
      <c r="BG217" s="43"/>
      <c r="BI217" s="43"/>
      <c r="BJ217" s="43"/>
      <c r="BK217" s="43"/>
      <c r="BL217" s="43"/>
      <c r="BM217" s="43"/>
      <c r="BO217" s="43"/>
      <c r="BR217" s="43"/>
      <c r="BS217" s="43"/>
      <c r="BW217" s="43"/>
      <c r="CC217" s="43"/>
      <c r="CE217" s="43"/>
      <c r="CF217" s="43"/>
      <c r="CH217" s="43"/>
      <c r="CK217" s="43"/>
    </row>
    <row r="218" spans="2:89" ht="15.75" customHeight="1" x14ac:dyDescent="0.25">
      <c r="B218" s="89"/>
      <c r="C218" s="123"/>
      <c r="D218" s="47"/>
      <c r="E218" s="40"/>
      <c r="F218" s="43"/>
      <c r="G218" s="43"/>
      <c r="H218" s="41"/>
      <c r="I218" s="42"/>
      <c r="J218" s="42"/>
      <c r="K218" s="84"/>
      <c r="L218" s="45"/>
      <c r="M218" s="43"/>
      <c r="N218" s="42"/>
      <c r="O218" s="42"/>
      <c r="P218" s="226"/>
      <c r="Q218" s="42"/>
      <c r="R218" s="42"/>
      <c r="S218" s="42"/>
      <c r="T218" s="42"/>
      <c r="U218" s="67"/>
      <c r="V218" s="220"/>
      <c r="W218" s="48"/>
      <c r="X218" s="49"/>
      <c r="Y218" s="43"/>
      <c r="Z218" s="49"/>
      <c r="AA218" s="43"/>
      <c r="AB218" s="43"/>
      <c r="AC218" s="49"/>
      <c r="AE218" s="43"/>
      <c r="AF218" s="69"/>
      <c r="AI218" s="46"/>
      <c r="AJ218" s="138"/>
      <c r="AK218" s="138"/>
      <c r="AL218" s="138"/>
      <c r="AM218" s="42"/>
      <c r="AO218" s="42"/>
      <c r="AQ218" s="43"/>
      <c r="AR218" s="43"/>
      <c r="AS218" s="44"/>
      <c r="AT218" s="152"/>
      <c r="AU218" s="44"/>
      <c r="AW218" s="42"/>
      <c r="AX218" s="42"/>
      <c r="AY218" s="45"/>
      <c r="AZ218" s="47"/>
      <c r="BG218" s="43"/>
      <c r="BI218" s="43"/>
      <c r="BJ218" s="43"/>
      <c r="BK218" s="43"/>
      <c r="BL218" s="43"/>
      <c r="BM218" s="43"/>
      <c r="BO218" s="43"/>
      <c r="BR218" s="43"/>
      <c r="BS218" s="43"/>
      <c r="BW218" s="43"/>
      <c r="CC218" s="43"/>
      <c r="CE218" s="43"/>
      <c r="CF218" s="43"/>
      <c r="CH218" s="43"/>
      <c r="CK218" s="43"/>
    </row>
    <row r="219" spans="2:89" ht="15.75" customHeight="1" x14ac:dyDescent="0.25">
      <c r="B219" s="89"/>
      <c r="C219" s="123"/>
      <c r="D219" s="47"/>
      <c r="E219" s="40"/>
      <c r="F219" s="43"/>
      <c r="G219" s="43"/>
      <c r="H219" s="41"/>
      <c r="I219" s="42"/>
      <c r="J219" s="42"/>
      <c r="K219" s="84"/>
      <c r="L219" s="45"/>
      <c r="M219" s="43"/>
      <c r="N219" s="42"/>
      <c r="O219" s="42"/>
      <c r="P219" s="229"/>
      <c r="Q219" s="42"/>
      <c r="R219" s="42"/>
      <c r="S219" s="42"/>
      <c r="T219" s="42"/>
      <c r="U219" s="67"/>
      <c r="V219" s="220"/>
      <c r="W219" s="48"/>
      <c r="X219" s="49"/>
      <c r="Y219" s="43"/>
      <c r="Z219" s="49"/>
      <c r="AA219" s="43"/>
      <c r="AB219" s="43"/>
      <c r="AC219" s="49"/>
      <c r="AE219" s="43"/>
      <c r="AF219" s="69"/>
      <c r="AI219" s="46"/>
      <c r="AJ219" s="138"/>
      <c r="AK219" s="138"/>
      <c r="AL219" s="138"/>
      <c r="AM219" s="42"/>
      <c r="AO219" s="42"/>
      <c r="AQ219" s="43"/>
      <c r="AR219" s="43"/>
      <c r="AS219" s="44"/>
      <c r="AT219" s="44"/>
      <c r="AU219" s="44"/>
      <c r="AW219" s="42"/>
      <c r="AX219" s="42"/>
      <c r="AY219" s="45"/>
      <c r="AZ219" s="47"/>
      <c r="BG219" s="43"/>
      <c r="BI219" s="43"/>
      <c r="BJ219" s="43"/>
      <c r="BK219" s="43"/>
      <c r="BL219" s="43"/>
      <c r="BM219" s="43"/>
      <c r="BO219" s="43"/>
      <c r="BR219" s="43"/>
      <c r="BS219" s="43"/>
      <c r="BW219" s="43"/>
      <c r="CC219" s="43"/>
      <c r="CE219" s="43"/>
      <c r="CF219" s="43"/>
      <c r="CH219" s="43"/>
      <c r="CK219" s="43"/>
    </row>
    <row r="220" spans="2:89" x14ac:dyDescent="0.25">
      <c r="B220" s="89"/>
      <c r="C220" s="123"/>
      <c r="D220" s="47"/>
      <c r="E220" s="40"/>
      <c r="F220" s="43"/>
      <c r="G220" s="43"/>
      <c r="H220" s="41"/>
      <c r="I220" s="42"/>
      <c r="J220" s="42"/>
      <c r="K220" s="84"/>
      <c r="L220" s="45"/>
      <c r="M220" s="50"/>
      <c r="N220" s="42"/>
      <c r="O220" s="42"/>
      <c r="P220" s="42"/>
      <c r="Q220" s="42"/>
      <c r="R220" s="42"/>
      <c r="S220" s="42"/>
      <c r="T220" s="42"/>
      <c r="U220" s="67"/>
      <c r="V220" s="220"/>
      <c r="W220" s="48"/>
      <c r="X220" s="49"/>
      <c r="Y220" s="43"/>
      <c r="Z220" s="49"/>
      <c r="AA220" s="43"/>
      <c r="AB220" s="43"/>
      <c r="AC220" s="49"/>
      <c r="AE220" s="43"/>
      <c r="AF220" s="69"/>
      <c r="AI220" s="46"/>
      <c r="AJ220" s="138"/>
      <c r="AK220" s="138"/>
      <c r="AL220" s="138"/>
      <c r="AM220" s="42"/>
      <c r="AO220" s="42"/>
      <c r="AQ220" s="43"/>
      <c r="AR220" s="43"/>
      <c r="AS220" s="44"/>
      <c r="AT220" s="44"/>
      <c r="AU220" s="44"/>
      <c r="AW220" s="42"/>
      <c r="AX220" s="42"/>
      <c r="AY220" s="45"/>
      <c r="AZ220" s="47"/>
      <c r="BG220" s="43"/>
      <c r="BI220" s="43"/>
      <c r="BJ220" s="43"/>
      <c r="BK220" s="43"/>
      <c r="BL220" s="43"/>
      <c r="BM220" s="43"/>
      <c r="BO220" s="43"/>
      <c r="BR220" s="43"/>
      <c r="BS220" s="43"/>
      <c r="BW220" s="43"/>
      <c r="CC220" s="43"/>
      <c r="CE220" s="43"/>
      <c r="CF220" s="43"/>
      <c r="CH220" s="43"/>
      <c r="CK220" s="43"/>
    </row>
    <row r="221" spans="2:89" x14ac:dyDescent="0.25">
      <c r="B221" s="89"/>
      <c r="C221" s="123"/>
      <c r="D221" s="47"/>
      <c r="E221" s="40"/>
      <c r="F221" s="43"/>
      <c r="G221" s="43"/>
      <c r="H221" s="41"/>
      <c r="I221" s="42"/>
      <c r="J221" s="42"/>
      <c r="K221" s="84"/>
      <c r="L221" s="45"/>
      <c r="M221" s="50"/>
      <c r="N221" s="42"/>
      <c r="O221" s="42"/>
      <c r="P221" s="223"/>
      <c r="Q221" s="42"/>
      <c r="R221" s="42"/>
      <c r="S221" s="42"/>
      <c r="T221" s="42"/>
      <c r="U221" s="67"/>
      <c r="V221" s="220"/>
      <c r="W221" s="48"/>
      <c r="X221" s="49"/>
      <c r="Y221" s="43"/>
      <c r="Z221" s="49"/>
      <c r="AA221" s="43"/>
      <c r="AB221" s="43"/>
      <c r="AC221" s="49"/>
      <c r="AE221" s="43"/>
      <c r="AF221" s="69"/>
      <c r="AI221" s="46"/>
      <c r="AJ221" s="138"/>
      <c r="AK221" s="138"/>
      <c r="AL221" s="138"/>
      <c r="AM221" s="42"/>
      <c r="AO221" s="42"/>
      <c r="AQ221" s="43"/>
      <c r="AR221" s="43"/>
      <c r="AS221" s="44"/>
      <c r="AT221" s="44"/>
      <c r="AU221" s="44"/>
      <c r="AW221" s="42"/>
      <c r="AX221" s="42"/>
      <c r="AY221" s="45"/>
      <c r="AZ221" s="47"/>
      <c r="BG221" s="43"/>
      <c r="BI221" s="43"/>
      <c r="BJ221" s="43"/>
      <c r="BK221" s="43"/>
      <c r="BL221" s="43"/>
      <c r="BM221" s="43"/>
      <c r="BO221" s="43"/>
      <c r="BR221" s="43"/>
      <c r="BS221" s="43"/>
      <c r="BW221" s="43"/>
      <c r="CC221" s="43"/>
      <c r="CE221" s="43"/>
      <c r="CF221" s="43"/>
      <c r="CH221" s="43"/>
      <c r="CK221" s="43"/>
    </row>
    <row r="222" spans="2:89" x14ac:dyDescent="0.25">
      <c r="B222" s="89"/>
      <c r="C222" s="123"/>
      <c r="D222" s="47"/>
      <c r="E222" s="40"/>
      <c r="F222" s="43"/>
      <c r="G222" s="43"/>
      <c r="H222" s="41"/>
      <c r="I222" s="42"/>
      <c r="J222" s="42"/>
      <c r="K222" s="84"/>
      <c r="L222" s="45"/>
      <c r="M222" s="50"/>
      <c r="N222" s="42"/>
      <c r="O222" s="42"/>
      <c r="P222" s="42"/>
      <c r="Q222" s="42"/>
      <c r="R222" s="42"/>
      <c r="S222" s="42"/>
      <c r="T222" s="42"/>
      <c r="U222" s="67"/>
      <c r="V222" s="220"/>
      <c r="W222" s="48"/>
      <c r="X222" s="49"/>
      <c r="Y222" s="43"/>
      <c r="Z222" s="49"/>
      <c r="AA222" s="43"/>
      <c r="AB222" s="43"/>
      <c r="AC222" s="49"/>
      <c r="AE222" s="43"/>
      <c r="AF222" s="69"/>
      <c r="AI222" s="46"/>
      <c r="AJ222" s="138"/>
      <c r="AK222" s="138"/>
      <c r="AL222" s="138"/>
      <c r="AM222" s="42"/>
      <c r="AO222" s="42"/>
      <c r="AQ222" s="43"/>
      <c r="AR222" s="43"/>
      <c r="AS222" s="44"/>
      <c r="AT222" s="44"/>
      <c r="AU222" s="44"/>
      <c r="AW222" s="42"/>
      <c r="AX222" s="42"/>
      <c r="AY222" s="45"/>
      <c r="AZ222" s="47"/>
      <c r="BG222" s="43"/>
      <c r="BI222" s="43"/>
      <c r="BJ222" s="43"/>
      <c r="BK222" s="43"/>
      <c r="BL222" s="43"/>
      <c r="BM222" s="43"/>
      <c r="BO222" s="43"/>
      <c r="BR222" s="43"/>
      <c r="BS222" s="43"/>
      <c r="BW222" s="43"/>
      <c r="CC222" s="43"/>
      <c r="CE222" s="43"/>
      <c r="CF222" s="43"/>
      <c r="CH222" s="43"/>
      <c r="CK222" s="43"/>
    </row>
    <row r="223" spans="2:89" x14ac:dyDescent="0.25">
      <c r="B223" s="89"/>
      <c r="C223" s="123"/>
      <c r="D223" s="47"/>
      <c r="E223" s="40"/>
      <c r="F223" s="43"/>
      <c r="G223" s="43"/>
      <c r="H223" s="41"/>
      <c r="I223" s="42"/>
      <c r="J223" s="42"/>
      <c r="K223" s="84"/>
      <c r="L223" s="45"/>
      <c r="M223" s="50"/>
      <c r="N223" s="42"/>
      <c r="O223" s="42"/>
      <c r="P223" s="42"/>
      <c r="Q223" s="42"/>
      <c r="R223" s="42"/>
      <c r="S223" s="42"/>
      <c r="T223" s="42"/>
      <c r="U223" s="67"/>
      <c r="V223" s="220"/>
      <c r="W223" s="48"/>
      <c r="X223" s="49"/>
      <c r="Y223" s="43"/>
      <c r="Z223" s="49"/>
      <c r="AA223" s="43"/>
      <c r="AB223" s="43"/>
      <c r="AC223" s="49"/>
      <c r="AE223" s="43"/>
      <c r="AF223" s="69"/>
      <c r="AI223" s="46"/>
      <c r="AJ223" s="138"/>
      <c r="AK223" s="138"/>
      <c r="AL223" s="138"/>
      <c r="AM223" s="42"/>
      <c r="AO223" s="42"/>
      <c r="AQ223" s="43"/>
      <c r="AR223" s="43"/>
      <c r="AS223" s="44"/>
      <c r="AT223" s="44"/>
      <c r="AU223" s="44"/>
      <c r="AW223" s="42"/>
      <c r="AX223" s="42"/>
      <c r="AY223" s="45"/>
      <c r="AZ223" s="47"/>
      <c r="BG223" s="43"/>
      <c r="BI223" s="43"/>
      <c r="BJ223" s="43"/>
      <c r="BK223" s="43"/>
      <c r="BL223" s="43"/>
      <c r="BM223" s="43"/>
      <c r="BO223" s="43"/>
      <c r="BR223" s="43"/>
      <c r="BS223" s="43"/>
      <c r="BW223" s="43"/>
      <c r="CC223" s="43"/>
      <c r="CE223" s="43"/>
      <c r="CF223" s="43"/>
      <c r="CH223" s="43"/>
      <c r="CK223" s="43"/>
    </row>
    <row r="224" spans="2:89" ht="15.75" customHeight="1" x14ac:dyDescent="0.25">
      <c r="B224" s="89"/>
      <c r="C224" s="123"/>
      <c r="D224" s="47"/>
      <c r="E224" s="40"/>
      <c r="F224" s="43"/>
      <c r="G224" s="43"/>
      <c r="H224" s="41"/>
      <c r="I224" s="42"/>
      <c r="J224" s="42"/>
      <c r="K224" s="84"/>
      <c r="L224" s="45"/>
      <c r="M224" s="50"/>
      <c r="N224" s="42"/>
      <c r="O224" s="42"/>
      <c r="P224" s="229"/>
      <c r="Q224" s="42"/>
      <c r="R224" s="42"/>
      <c r="S224" s="42"/>
      <c r="T224" s="42"/>
      <c r="U224" s="67"/>
      <c r="V224" s="220"/>
      <c r="W224" s="48"/>
      <c r="X224" s="49"/>
      <c r="Y224" s="43"/>
      <c r="Z224" s="49"/>
      <c r="AA224" s="43"/>
      <c r="AB224" s="43"/>
      <c r="AC224" s="49"/>
      <c r="AE224" s="43"/>
      <c r="AF224" s="69"/>
      <c r="AI224" s="46"/>
      <c r="AJ224" s="138"/>
      <c r="AK224" s="138"/>
      <c r="AL224" s="138"/>
      <c r="AM224" s="42"/>
      <c r="AO224" s="42"/>
      <c r="AQ224" s="43"/>
      <c r="AR224" s="43"/>
      <c r="AS224" s="44"/>
      <c r="AT224" s="44"/>
      <c r="AU224" s="44"/>
      <c r="AW224" s="42"/>
      <c r="AX224" s="42"/>
      <c r="AY224" s="45"/>
      <c r="AZ224" s="47"/>
      <c r="BG224" s="43"/>
      <c r="BI224" s="43"/>
      <c r="BJ224" s="43"/>
      <c r="BK224" s="43"/>
      <c r="BL224" s="43"/>
      <c r="BM224" s="43"/>
      <c r="BO224" s="43"/>
      <c r="BR224" s="43"/>
      <c r="BS224" s="43"/>
      <c r="BW224" s="43"/>
      <c r="CC224" s="43"/>
      <c r="CE224" s="43"/>
      <c r="CF224" s="43"/>
      <c r="CH224" s="43"/>
      <c r="CK224" s="43"/>
    </row>
    <row r="225" spans="2:89" ht="15.75" customHeight="1" x14ac:dyDescent="0.25">
      <c r="B225" s="89"/>
      <c r="C225" s="123"/>
      <c r="D225" s="47"/>
      <c r="E225" s="40"/>
      <c r="F225" s="43"/>
      <c r="G225" s="43"/>
      <c r="H225" s="41"/>
      <c r="I225" s="42"/>
      <c r="J225" s="42"/>
      <c r="K225" s="84"/>
      <c r="L225" s="45"/>
      <c r="M225" s="50"/>
      <c r="N225" s="42"/>
      <c r="O225" s="42"/>
      <c r="P225" s="42"/>
      <c r="Q225" s="42"/>
      <c r="R225" s="42"/>
      <c r="S225" s="42"/>
      <c r="T225" s="42"/>
      <c r="U225" s="67"/>
      <c r="V225" s="222"/>
      <c r="W225" s="48"/>
      <c r="X225" s="49"/>
      <c r="Y225" s="43"/>
      <c r="Z225" s="49"/>
      <c r="AA225" s="43"/>
      <c r="AB225" s="43"/>
      <c r="AC225" s="49"/>
      <c r="AE225" s="43"/>
      <c r="AF225" s="69"/>
      <c r="AI225" s="46"/>
      <c r="AJ225" s="138"/>
      <c r="AK225" s="138"/>
      <c r="AL225" s="138"/>
      <c r="AM225" s="42"/>
      <c r="AO225" s="42"/>
      <c r="AQ225" s="43"/>
      <c r="AR225" s="43"/>
      <c r="AS225" s="44"/>
      <c r="AT225" s="44"/>
      <c r="AU225" s="44"/>
      <c r="AW225" s="42"/>
      <c r="AX225" s="42"/>
      <c r="AY225" s="45"/>
      <c r="AZ225" s="47"/>
      <c r="BG225" s="43"/>
      <c r="BI225" s="43"/>
      <c r="BJ225" s="43"/>
      <c r="BK225" s="43"/>
      <c r="BL225" s="43"/>
      <c r="BM225" s="43"/>
      <c r="BO225" s="43"/>
      <c r="BR225" s="43"/>
      <c r="BS225" s="43"/>
      <c r="BW225" s="43"/>
      <c r="CC225" s="43"/>
      <c r="CE225" s="43"/>
      <c r="CF225" s="43"/>
      <c r="CH225" s="43"/>
      <c r="CK225" s="43"/>
    </row>
    <row r="226" spans="2:89" x14ac:dyDescent="0.25">
      <c r="B226" s="89"/>
      <c r="C226" s="123"/>
      <c r="D226" s="47"/>
      <c r="E226" s="40"/>
      <c r="F226" s="43"/>
      <c r="G226" s="43"/>
      <c r="H226" s="41"/>
      <c r="I226" s="42"/>
      <c r="J226" s="42"/>
      <c r="K226" s="84"/>
      <c r="L226" s="45"/>
      <c r="M226" s="50"/>
      <c r="N226" s="42"/>
      <c r="O226" s="42"/>
      <c r="P226" s="42"/>
      <c r="Q226" s="42"/>
      <c r="R226" s="42"/>
      <c r="S226" s="42"/>
      <c r="T226" s="42"/>
      <c r="U226" s="67"/>
      <c r="V226" s="220"/>
      <c r="W226" s="48"/>
      <c r="X226" s="49"/>
      <c r="Y226" s="43"/>
      <c r="Z226" s="49"/>
      <c r="AA226" s="43"/>
      <c r="AB226" s="43"/>
      <c r="AC226" s="49"/>
      <c r="AE226" s="43"/>
      <c r="AF226" s="69"/>
      <c r="AI226" s="46"/>
      <c r="AJ226" s="138"/>
      <c r="AK226" s="138"/>
      <c r="AL226" s="138"/>
      <c r="AM226" s="42"/>
      <c r="AO226" s="42"/>
      <c r="AQ226" s="43"/>
      <c r="AR226" s="43"/>
      <c r="AS226" s="44"/>
      <c r="AT226" s="44"/>
      <c r="AU226" s="44"/>
      <c r="AW226" s="42"/>
      <c r="AX226" s="42"/>
      <c r="AY226" s="45"/>
      <c r="AZ226" s="47"/>
      <c r="BG226" s="43"/>
      <c r="BI226" s="43"/>
      <c r="BJ226" s="43"/>
      <c r="BK226" s="43"/>
      <c r="BL226" s="43"/>
      <c r="BM226" s="43"/>
      <c r="BO226" s="43"/>
      <c r="BR226" s="43"/>
      <c r="BS226" s="43"/>
      <c r="BW226" s="43"/>
      <c r="CC226" s="43"/>
      <c r="CE226" s="43"/>
      <c r="CF226" s="43"/>
      <c r="CH226" s="43"/>
      <c r="CK226" s="43"/>
    </row>
    <row r="227" spans="2:89" x14ac:dyDescent="0.25">
      <c r="B227" s="89"/>
      <c r="C227" s="123"/>
      <c r="D227" s="47"/>
      <c r="E227" s="40"/>
      <c r="F227" s="43"/>
      <c r="G227" s="43"/>
      <c r="H227" s="41"/>
      <c r="I227" s="42"/>
      <c r="J227" s="42"/>
      <c r="K227" s="84"/>
      <c r="L227" s="45"/>
      <c r="M227" s="50"/>
      <c r="N227" s="42"/>
      <c r="O227" s="42"/>
      <c r="P227" s="42"/>
      <c r="Q227" s="42"/>
      <c r="R227" s="42"/>
      <c r="S227" s="42"/>
      <c r="T227" s="42"/>
      <c r="U227" s="67"/>
      <c r="V227" s="222"/>
      <c r="W227" s="48"/>
      <c r="X227" s="49"/>
      <c r="Y227" s="43"/>
      <c r="Z227" s="49"/>
      <c r="AA227" s="43"/>
      <c r="AB227" s="43"/>
      <c r="AC227" s="49"/>
      <c r="AE227" s="43"/>
      <c r="AF227" s="69"/>
      <c r="AI227" s="46"/>
      <c r="AJ227" s="138"/>
      <c r="AK227" s="138"/>
      <c r="AL227" s="138"/>
      <c r="AM227" s="42"/>
      <c r="AO227" s="42"/>
      <c r="AQ227" s="43"/>
      <c r="AR227" s="43"/>
      <c r="AS227" s="44"/>
      <c r="AT227" s="44"/>
      <c r="AU227" s="44"/>
      <c r="AW227" s="42"/>
      <c r="AX227" s="42"/>
      <c r="AY227" s="45"/>
      <c r="AZ227" s="47"/>
      <c r="BG227" s="43"/>
      <c r="BI227" s="43"/>
      <c r="BJ227" s="43"/>
      <c r="BK227" s="43"/>
      <c r="BL227" s="43"/>
      <c r="BM227" s="43"/>
      <c r="BO227" s="43"/>
      <c r="BR227" s="43"/>
      <c r="BS227" s="43"/>
      <c r="BW227" s="43"/>
      <c r="CC227" s="43"/>
      <c r="CE227" s="43"/>
      <c r="CF227" s="43"/>
      <c r="CH227" s="43"/>
      <c r="CK227" s="43"/>
    </row>
    <row r="228" spans="2:89" x14ac:dyDescent="0.25">
      <c r="B228" s="89"/>
      <c r="C228" s="123"/>
      <c r="D228" s="47"/>
      <c r="E228" s="40"/>
      <c r="F228" s="43"/>
      <c r="G228" s="43"/>
      <c r="H228" s="41"/>
      <c r="I228" s="42"/>
      <c r="J228" s="207"/>
      <c r="K228" s="84"/>
      <c r="L228" s="45"/>
      <c r="M228" s="50"/>
      <c r="N228" s="42"/>
      <c r="O228" s="42"/>
      <c r="P228" s="223"/>
      <c r="Q228" s="42"/>
      <c r="R228" s="42"/>
      <c r="S228" s="42"/>
      <c r="T228" s="42"/>
      <c r="U228" s="67"/>
      <c r="V228" s="220"/>
      <c r="W228" s="48"/>
      <c r="X228" s="49"/>
      <c r="Y228" s="43"/>
      <c r="Z228" s="49"/>
      <c r="AA228" s="43"/>
      <c r="AB228" s="43"/>
      <c r="AC228" s="49"/>
      <c r="AE228" s="43"/>
      <c r="AF228" s="69"/>
      <c r="AH228" s="151"/>
      <c r="AI228" s="46"/>
      <c r="AJ228" s="138"/>
      <c r="AK228" s="138"/>
      <c r="AL228" s="138"/>
      <c r="AM228" s="42"/>
      <c r="AO228" s="42"/>
      <c r="AQ228" s="43"/>
      <c r="AR228" s="43"/>
      <c r="AS228" s="44"/>
      <c r="AT228" s="152"/>
      <c r="AU228" s="44"/>
      <c r="AW228" s="42"/>
      <c r="AX228" s="42"/>
      <c r="AY228" s="45"/>
      <c r="AZ228" s="47"/>
      <c r="BG228" s="43"/>
      <c r="BI228" s="43"/>
      <c r="BJ228" s="43"/>
      <c r="BK228" s="43"/>
      <c r="BL228" s="43"/>
      <c r="BM228" s="43"/>
      <c r="BO228" s="43"/>
      <c r="BR228" s="43"/>
      <c r="BS228" s="43"/>
      <c r="BW228" s="43"/>
      <c r="CC228" s="43"/>
      <c r="CE228" s="43"/>
      <c r="CF228" s="43"/>
      <c r="CH228" s="43"/>
      <c r="CK228" s="43"/>
    </row>
    <row r="229" spans="2:89" x14ac:dyDescent="0.25">
      <c r="B229" s="89"/>
      <c r="C229" s="47"/>
      <c r="D229" s="47"/>
      <c r="E229" s="40"/>
      <c r="F229" s="144"/>
      <c r="G229" s="144"/>
      <c r="H229" s="41"/>
      <c r="I229" s="75"/>
      <c r="J229" s="199"/>
      <c r="K229" s="84"/>
      <c r="L229" s="45"/>
      <c r="M229" s="50"/>
      <c r="N229" s="42"/>
      <c r="O229" s="42"/>
      <c r="P229" s="42"/>
      <c r="Q229" s="42"/>
      <c r="R229" s="42"/>
      <c r="S229" s="42"/>
      <c r="T229" s="42"/>
      <c r="U229" s="110"/>
      <c r="V229" s="220"/>
      <c r="W229" s="48"/>
      <c r="X229" s="49"/>
      <c r="Y229" s="43"/>
      <c r="Z229" s="49"/>
      <c r="AA229" s="43"/>
      <c r="AB229" s="43"/>
      <c r="AC229" s="49"/>
      <c r="AE229" s="43"/>
      <c r="AF229" s="69"/>
      <c r="AG229" s="69"/>
      <c r="AH229" s="150"/>
      <c r="AI229" s="46"/>
      <c r="AJ229" s="138"/>
      <c r="AK229" s="138"/>
      <c r="AL229" s="138"/>
      <c r="AM229" s="42"/>
      <c r="AO229" s="42"/>
      <c r="AQ229" s="43"/>
      <c r="AR229" s="43"/>
      <c r="AS229" s="44"/>
      <c r="AT229" s="44"/>
      <c r="AU229" s="44"/>
      <c r="AW229" s="42"/>
      <c r="AX229" s="42"/>
      <c r="AY229" s="45"/>
      <c r="AZ229" s="47"/>
      <c r="BG229" s="43"/>
      <c r="BI229" s="43"/>
      <c r="BJ229" s="43"/>
      <c r="BK229" s="43"/>
      <c r="BL229" s="43"/>
      <c r="BM229" s="43"/>
      <c r="BO229" s="43"/>
      <c r="BR229" s="43"/>
      <c r="BS229" s="43"/>
      <c r="BW229" s="43"/>
      <c r="CC229" s="43"/>
      <c r="CE229" s="43"/>
      <c r="CF229" s="43"/>
      <c r="CH229" s="43"/>
      <c r="CK229" s="43"/>
    </row>
    <row r="230" spans="2:89" x14ac:dyDescent="0.25">
      <c r="B230" s="89"/>
      <c r="C230" s="47"/>
      <c r="D230" s="47"/>
      <c r="E230" s="40"/>
      <c r="F230" s="43"/>
      <c r="G230" s="43"/>
      <c r="H230" s="41"/>
      <c r="I230" s="75"/>
      <c r="J230" s="207"/>
      <c r="K230" s="85"/>
      <c r="L230" s="45"/>
      <c r="M230" s="50"/>
      <c r="N230" s="42"/>
      <c r="O230" s="42"/>
      <c r="P230" s="42"/>
      <c r="Q230" s="42"/>
      <c r="R230" s="42"/>
      <c r="S230" s="42"/>
      <c r="T230" s="42"/>
      <c r="U230" s="67"/>
      <c r="V230" s="220"/>
      <c r="W230" s="48"/>
      <c r="X230" s="49"/>
      <c r="Y230" s="43"/>
      <c r="Z230" s="49"/>
      <c r="AA230" s="43"/>
      <c r="AB230" s="43"/>
      <c r="AC230" s="49"/>
      <c r="AE230" s="43"/>
      <c r="AF230" s="69"/>
      <c r="AH230" s="150"/>
      <c r="AI230" s="46"/>
      <c r="AJ230" s="138"/>
      <c r="AK230" s="138"/>
      <c r="AL230" s="138"/>
      <c r="AM230" s="42"/>
      <c r="AO230" s="42"/>
      <c r="AQ230" s="43"/>
      <c r="AR230" s="43"/>
      <c r="AS230" s="44"/>
      <c r="AT230" s="152"/>
      <c r="AU230" s="44"/>
      <c r="AW230" s="42"/>
      <c r="AX230" s="42"/>
      <c r="AY230" s="45"/>
      <c r="AZ230" s="47"/>
      <c r="BG230" s="43"/>
      <c r="BI230" s="43"/>
      <c r="BJ230" s="43"/>
      <c r="BK230" s="43"/>
      <c r="BL230" s="43"/>
      <c r="BM230" s="43"/>
      <c r="BO230" s="43"/>
      <c r="BR230" s="43"/>
      <c r="BS230" s="43"/>
      <c r="BW230" s="43"/>
      <c r="CC230" s="43"/>
      <c r="CE230" s="43"/>
      <c r="CF230" s="43"/>
      <c r="CH230" s="43"/>
      <c r="CK230" s="43"/>
    </row>
    <row r="231" spans="2:89" x14ac:dyDescent="0.25">
      <c r="B231" s="89"/>
      <c r="C231" s="47"/>
      <c r="D231" s="47"/>
      <c r="E231" s="40"/>
      <c r="F231" s="76"/>
      <c r="G231" s="43"/>
      <c r="H231" s="41"/>
      <c r="I231" s="75"/>
      <c r="J231" s="199"/>
      <c r="K231" s="85"/>
      <c r="L231" s="45"/>
      <c r="M231" s="50"/>
      <c r="N231" s="42"/>
      <c r="O231" s="42"/>
      <c r="P231" s="42"/>
      <c r="Q231" s="42"/>
      <c r="R231" s="42"/>
      <c r="S231" s="42"/>
      <c r="T231" s="42"/>
      <c r="U231" s="67"/>
      <c r="V231" s="220"/>
      <c r="W231" s="48"/>
      <c r="X231" s="49"/>
      <c r="Y231" s="43"/>
      <c r="Z231" s="49"/>
      <c r="AA231" s="43"/>
      <c r="AB231" s="43"/>
      <c r="AC231" s="49"/>
      <c r="AE231" s="43"/>
      <c r="AF231" s="69"/>
      <c r="AH231" s="150"/>
      <c r="AI231" s="46"/>
      <c r="AJ231" s="138"/>
      <c r="AK231" s="138"/>
      <c r="AL231" s="138"/>
      <c r="AM231" s="42"/>
      <c r="AO231" s="42"/>
      <c r="AQ231" s="43"/>
      <c r="AR231" s="43"/>
      <c r="AS231" s="44"/>
      <c r="AT231" s="44"/>
      <c r="AU231" s="44"/>
      <c r="AW231" s="42"/>
      <c r="AX231" s="42"/>
      <c r="AY231" s="45"/>
      <c r="AZ231" s="47"/>
      <c r="BG231" s="43"/>
      <c r="BI231" s="43"/>
      <c r="BJ231" s="43"/>
      <c r="BK231" s="43"/>
      <c r="BL231" s="43"/>
      <c r="BM231" s="43"/>
      <c r="BO231" s="43"/>
      <c r="BR231" s="43"/>
      <c r="BS231" s="43"/>
      <c r="BW231" s="43"/>
      <c r="CC231" s="43"/>
      <c r="CE231" s="43"/>
      <c r="CF231" s="43"/>
      <c r="CH231" s="43"/>
      <c r="CK231" s="43"/>
    </row>
    <row r="232" spans="2:89" x14ac:dyDescent="0.25">
      <c r="B232" s="89"/>
      <c r="C232" s="47"/>
      <c r="D232" s="47"/>
      <c r="E232" s="40"/>
      <c r="F232" s="43"/>
      <c r="G232" s="43"/>
      <c r="H232" s="41"/>
      <c r="I232" s="75"/>
      <c r="J232" s="207"/>
      <c r="K232" s="85"/>
      <c r="L232" s="45"/>
      <c r="M232" s="50"/>
      <c r="N232" s="42"/>
      <c r="O232" s="42"/>
      <c r="P232" s="42"/>
      <c r="Q232" s="42"/>
      <c r="R232" s="42"/>
      <c r="S232" s="42"/>
      <c r="T232" s="42"/>
      <c r="U232" s="67"/>
      <c r="V232" s="220"/>
      <c r="W232" s="48"/>
      <c r="X232" s="48"/>
      <c r="Y232" s="43"/>
      <c r="Z232" s="49"/>
      <c r="AA232" s="43"/>
      <c r="AB232" s="43"/>
      <c r="AC232" s="49"/>
      <c r="AE232" s="43"/>
      <c r="AF232" s="69"/>
      <c r="AH232" s="150"/>
      <c r="AI232" s="46"/>
      <c r="AJ232" s="138"/>
      <c r="AK232" s="138"/>
      <c r="AL232" s="138"/>
      <c r="AM232" s="42"/>
      <c r="AO232" s="42"/>
      <c r="AQ232" s="43"/>
      <c r="AR232" s="43"/>
      <c r="AS232" s="44"/>
      <c r="AT232" s="152"/>
      <c r="AU232" s="44"/>
      <c r="AW232" s="42"/>
      <c r="AX232" s="42"/>
      <c r="AY232" s="45"/>
      <c r="AZ232" s="47"/>
      <c r="BG232" s="43"/>
      <c r="BI232" s="43"/>
      <c r="BJ232" s="43"/>
      <c r="BK232" s="43"/>
      <c r="BL232" s="43"/>
      <c r="BM232" s="43"/>
      <c r="BO232" s="43"/>
      <c r="BR232" s="43"/>
      <c r="BS232" s="43"/>
      <c r="BW232" s="43"/>
      <c r="CC232" s="43"/>
      <c r="CE232" s="43"/>
      <c r="CF232" s="43"/>
      <c r="CH232" s="43"/>
      <c r="CK232" s="43"/>
    </row>
    <row r="233" spans="2:89" x14ac:dyDescent="0.25">
      <c r="B233" s="157"/>
      <c r="C233" s="47"/>
      <c r="D233" s="47"/>
      <c r="E233" s="40"/>
      <c r="F233" s="43"/>
      <c r="G233" s="43"/>
      <c r="H233" s="176"/>
      <c r="I233" s="42"/>
      <c r="J233" s="42"/>
      <c r="K233" s="177"/>
      <c r="L233" s="45"/>
      <c r="M233" s="50"/>
      <c r="N233" s="42"/>
      <c r="O233" s="42"/>
      <c r="P233" s="42"/>
      <c r="Q233" s="42"/>
      <c r="R233" s="42"/>
      <c r="S233" s="42"/>
      <c r="T233" s="42"/>
      <c r="U233" s="178"/>
      <c r="V233" s="220"/>
      <c r="W233" s="48"/>
      <c r="X233" s="49"/>
      <c r="Y233" s="43"/>
      <c r="Z233" s="49"/>
      <c r="AA233" s="43"/>
      <c r="AB233" s="43"/>
      <c r="AC233" s="49"/>
      <c r="AE233" s="43"/>
      <c r="AF233" s="69"/>
      <c r="AG233" s="69"/>
      <c r="AI233" s="46"/>
      <c r="AJ233" s="139"/>
      <c r="AK233" s="138"/>
      <c r="AL233" s="175"/>
      <c r="AM233" s="74"/>
      <c r="AN233" s="74"/>
      <c r="AO233" s="74"/>
      <c r="AP233" s="74"/>
      <c r="AQ233" s="81"/>
      <c r="AR233" s="81"/>
      <c r="AS233" s="44"/>
      <c r="AT233" s="82"/>
      <c r="AU233" s="44"/>
      <c r="AV233" s="81"/>
      <c r="AW233" s="74"/>
      <c r="AX233" s="74"/>
      <c r="AY233" s="74"/>
      <c r="AZ233" s="83"/>
      <c r="BG233" s="43"/>
      <c r="BI233" s="43"/>
      <c r="BJ233" s="43"/>
      <c r="BK233" s="43"/>
      <c r="BL233" s="43"/>
      <c r="BM233" s="43"/>
      <c r="BO233" s="43"/>
      <c r="BR233" s="43"/>
      <c r="BS233" s="43"/>
      <c r="BW233" s="43"/>
      <c r="CC233" s="43"/>
      <c r="CE233" s="43"/>
      <c r="CF233" s="43"/>
      <c r="CH233" s="43"/>
      <c r="CK233" s="43"/>
    </row>
    <row r="234" spans="2:89" x14ac:dyDescent="0.25">
      <c r="B234" s="157"/>
      <c r="C234" s="124"/>
      <c r="D234" s="47"/>
      <c r="E234" s="40"/>
      <c r="F234" s="43"/>
      <c r="G234" s="43"/>
      <c r="H234" s="176"/>
      <c r="I234" s="42"/>
      <c r="J234" s="42"/>
      <c r="K234" s="177"/>
      <c r="L234" s="45"/>
      <c r="M234" s="50"/>
      <c r="N234" s="42"/>
      <c r="O234" s="42"/>
      <c r="P234" s="42"/>
      <c r="Q234" s="42"/>
      <c r="R234" s="42"/>
      <c r="S234" s="42"/>
      <c r="T234" s="42"/>
      <c r="U234" s="178"/>
      <c r="V234" s="222"/>
      <c r="W234" s="48"/>
      <c r="X234" s="49"/>
      <c r="Y234" s="43"/>
      <c r="Z234" s="49"/>
      <c r="AA234" s="43"/>
      <c r="AB234" s="43"/>
      <c r="AC234" s="49"/>
      <c r="AE234" s="43"/>
      <c r="AF234" s="69"/>
      <c r="AG234" s="69"/>
      <c r="AI234" s="46"/>
      <c r="AJ234" s="139"/>
      <c r="AK234" s="138"/>
      <c r="AL234" s="175"/>
      <c r="AM234" s="74"/>
      <c r="AN234" s="74"/>
      <c r="AO234" s="74"/>
      <c r="AP234" s="74"/>
      <c r="AQ234" s="81"/>
      <c r="AR234" s="81"/>
      <c r="AS234" s="44"/>
      <c r="AT234" s="82"/>
      <c r="AU234" s="44"/>
      <c r="AV234" s="81"/>
      <c r="AW234" s="74"/>
      <c r="AX234" s="74"/>
      <c r="AY234" s="74"/>
      <c r="AZ234" s="83"/>
      <c r="BG234" s="43"/>
      <c r="BI234" s="43"/>
      <c r="BJ234" s="43"/>
      <c r="BK234" s="43"/>
      <c r="BL234" s="43"/>
      <c r="BM234" s="43"/>
      <c r="BO234" s="43"/>
      <c r="BR234" s="43"/>
      <c r="BS234" s="43"/>
      <c r="BW234" s="43"/>
      <c r="CC234" s="43"/>
      <c r="CE234" s="43"/>
      <c r="CF234" s="43"/>
      <c r="CH234" s="43"/>
      <c r="CK234" s="43"/>
    </row>
    <row r="235" spans="2:89" x14ac:dyDescent="0.25">
      <c r="B235" s="89"/>
      <c r="C235" s="123"/>
      <c r="D235" s="47"/>
      <c r="E235" s="40"/>
      <c r="F235" s="43"/>
      <c r="G235" s="43"/>
      <c r="H235" s="41"/>
      <c r="I235" s="42"/>
      <c r="J235" s="42"/>
      <c r="K235" s="84"/>
      <c r="L235" s="45"/>
      <c r="M235" s="43"/>
      <c r="N235" s="42"/>
      <c r="O235" s="42"/>
      <c r="P235" s="229"/>
      <c r="Q235" s="42"/>
      <c r="R235" s="42"/>
      <c r="S235" s="42"/>
      <c r="T235" s="42"/>
      <c r="U235" s="67"/>
      <c r="V235" s="220"/>
      <c r="W235" s="48"/>
      <c r="X235" s="49"/>
      <c r="Y235" s="43"/>
      <c r="Z235" s="49"/>
      <c r="AA235" s="43"/>
      <c r="AB235" s="43"/>
      <c r="AC235" s="49"/>
      <c r="AE235" s="43"/>
      <c r="AF235" s="69"/>
      <c r="AI235" s="46"/>
      <c r="AJ235" s="138"/>
      <c r="AK235" s="138"/>
      <c r="AL235" s="138"/>
      <c r="AM235" s="42"/>
      <c r="AO235" s="42"/>
      <c r="AQ235" s="43"/>
      <c r="AR235" s="43"/>
      <c r="AS235" s="44"/>
      <c r="AT235" s="152"/>
      <c r="AU235" s="44"/>
      <c r="AW235" s="42"/>
      <c r="AX235" s="42"/>
      <c r="AY235" s="45"/>
      <c r="AZ235" s="47"/>
      <c r="BG235" s="43"/>
      <c r="BI235" s="43"/>
      <c r="BJ235" s="43"/>
      <c r="BK235" s="43"/>
      <c r="BL235" s="43"/>
      <c r="BM235" s="43"/>
      <c r="BO235" s="43"/>
      <c r="BR235" s="43"/>
      <c r="BS235" s="43"/>
      <c r="BW235" s="43"/>
      <c r="CC235" s="43"/>
      <c r="CE235" s="43"/>
      <c r="CF235" s="43"/>
      <c r="CH235" s="43"/>
      <c r="CK235" s="43"/>
    </row>
    <row r="236" spans="2:89" x14ac:dyDescent="0.25">
      <c r="B236" s="89"/>
      <c r="C236" s="123"/>
      <c r="D236" s="47"/>
      <c r="E236" s="40"/>
      <c r="F236" s="43"/>
      <c r="G236" s="43"/>
      <c r="H236" s="41"/>
      <c r="I236" s="42"/>
      <c r="J236" s="42"/>
      <c r="K236" s="84"/>
      <c r="L236" s="45"/>
      <c r="M236" s="43"/>
      <c r="N236" s="42"/>
      <c r="O236" s="42"/>
      <c r="P236" s="223"/>
      <c r="Q236" s="42"/>
      <c r="R236" s="42"/>
      <c r="S236" s="42"/>
      <c r="T236" s="42"/>
      <c r="U236" s="67"/>
      <c r="V236" s="220"/>
      <c r="W236" s="48"/>
      <c r="X236" s="49"/>
      <c r="Y236" s="43"/>
      <c r="Z236" s="49"/>
      <c r="AA236" s="43"/>
      <c r="AB236" s="43"/>
      <c r="AC236" s="49"/>
      <c r="AE236" s="43"/>
      <c r="AF236" s="69"/>
      <c r="AI236" s="46"/>
      <c r="AJ236" s="138"/>
      <c r="AK236" s="138"/>
      <c r="AL236" s="138"/>
      <c r="AM236" s="42"/>
      <c r="AO236" s="42"/>
      <c r="AQ236" s="43"/>
      <c r="AR236" s="43"/>
      <c r="AS236" s="44"/>
      <c r="AT236" s="44"/>
      <c r="AU236" s="44"/>
      <c r="AW236" s="42"/>
      <c r="AX236" s="42"/>
      <c r="AY236" s="45"/>
      <c r="AZ236" s="47"/>
      <c r="BG236" s="43"/>
      <c r="BI236" s="43"/>
      <c r="BJ236" s="43"/>
      <c r="BK236" s="43"/>
      <c r="BL236" s="43"/>
      <c r="BM236" s="43"/>
      <c r="BO236" s="43"/>
      <c r="BR236" s="43"/>
      <c r="BS236" s="43"/>
      <c r="BW236" s="43"/>
      <c r="CC236" s="43"/>
      <c r="CE236" s="43"/>
      <c r="CF236" s="43"/>
      <c r="CH236" s="43"/>
      <c r="CK236" s="43"/>
    </row>
    <row r="237" spans="2:89" x14ac:dyDescent="0.25">
      <c r="B237" s="89"/>
      <c r="C237" s="123"/>
      <c r="D237" s="47"/>
      <c r="E237" s="40"/>
      <c r="F237" s="43"/>
      <c r="G237" s="43"/>
      <c r="H237" s="41"/>
      <c r="I237" s="42"/>
      <c r="J237" s="42"/>
      <c r="K237" s="84"/>
      <c r="L237" s="45"/>
      <c r="M237" s="43"/>
      <c r="N237" s="42"/>
      <c r="O237" s="42"/>
      <c r="P237" s="229"/>
      <c r="Q237" s="42"/>
      <c r="R237" s="42"/>
      <c r="S237" s="42"/>
      <c r="T237" s="42"/>
      <c r="U237" s="67"/>
      <c r="V237" s="220"/>
      <c r="W237" s="48"/>
      <c r="X237" s="49"/>
      <c r="Y237" s="43"/>
      <c r="Z237" s="49"/>
      <c r="AA237" s="43"/>
      <c r="AB237" s="43"/>
      <c r="AC237" s="49"/>
      <c r="AE237" s="43"/>
      <c r="AF237" s="69"/>
      <c r="AI237" s="46"/>
      <c r="AJ237" s="138"/>
      <c r="AK237" s="138"/>
      <c r="AL237" s="138"/>
      <c r="AM237" s="42"/>
      <c r="AO237" s="42"/>
      <c r="AQ237" s="43"/>
      <c r="AR237" s="43"/>
      <c r="AS237" s="44"/>
      <c r="AT237" s="152"/>
      <c r="AU237" s="44"/>
      <c r="AW237" s="42"/>
      <c r="AX237" s="42"/>
      <c r="AY237" s="45"/>
      <c r="AZ237" s="47"/>
      <c r="BG237" s="43"/>
      <c r="BI237" s="43"/>
      <c r="BJ237" s="43"/>
      <c r="BK237" s="43"/>
      <c r="BL237" s="43"/>
      <c r="BM237" s="43"/>
      <c r="BO237" s="43"/>
      <c r="BR237" s="43"/>
      <c r="BS237" s="43"/>
      <c r="BW237" s="43"/>
      <c r="CC237" s="43"/>
      <c r="CE237" s="43"/>
      <c r="CF237" s="43"/>
      <c r="CH237" s="43"/>
      <c r="CK237" s="43"/>
    </row>
    <row r="238" spans="2:89" x14ac:dyDescent="0.25">
      <c r="B238" s="89"/>
      <c r="C238" s="123"/>
      <c r="D238" s="47"/>
      <c r="E238" s="40"/>
      <c r="F238" s="43"/>
      <c r="G238" s="43"/>
      <c r="H238" s="41"/>
      <c r="I238" s="42"/>
      <c r="J238" s="42"/>
      <c r="K238" s="84"/>
      <c r="L238" s="45"/>
      <c r="M238" s="43"/>
      <c r="N238" s="42"/>
      <c r="O238" s="42"/>
      <c r="P238" s="229"/>
      <c r="Q238" s="42"/>
      <c r="R238" s="42"/>
      <c r="S238" s="42"/>
      <c r="T238" s="42"/>
      <c r="U238" s="67"/>
      <c r="V238" s="222"/>
      <c r="W238" s="48"/>
      <c r="X238" s="49"/>
      <c r="Y238" s="43"/>
      <c r="Z238" s="49"/>
      <c r="AA238" s="43"/>
      <c r="AB238" s="43"/>
      <c r="AC238" s="49"/>
      <c r="AE238" s="43"/>
      <c r="AF238" s="69"/>
      <c r="AI238" s="46"/>
      <c r="AJ238" s="138"/>
      <c r="AK238" s="138"/>
      <c r="AL238" s="138"/>
      <c r="AM238" s="42"/>
      <c r="AO238" s="42"/>
      <c r="AQ238" s="43"/>
      <c r="AR238" s="43"/>
      <c r="AS238" s="44"/>
      <c r="AT238" s="44"/>
      <c r="AU238" s="44"/>
      <c r="AW238" s="42"/>
      <c r="AX238" s="42"/>
      <c r="AY238" s="45"/>
      <c r="AZ238" s="47"/>
      <c r="BG238" s="43"/>
      <c r="BI238" s="43"/>
      <c r="BJ238" s="43"/>
      <c r="BK238" s="43"/>
      <c r="BL238" s="43"/>
      <c r="BM238" s="43"/>
      <c r="BO238" s="43"/>
      <c r="BR238" s="43"/>
      <c r="BS238" s="43"/>
      <c r="BW238" s="43"/>
      <c r="CC238" s="43"/>
      <c r="CE238" s="43"/>
      <c r="CF238" s="43"/>
      <c r="CH238" s="43"/>
      <c r="CK238" s="43"/>
    </row>
    <row r="239" spans="2:89" x14ac:dyDescent="0.25">
      <c r="B239" s="89"/>
      <c r="C239" s="123"/>
      <c r="D239" s="47"/>
      <c r="E239" s="40"/>
      <c r="F239" s="43"/>
      <c r="G239" s="43"/>
      <c r="H239" s="41"/>
      <c r="I239" s="42"/>
      <c r="J239" s="42"/>
      <c r="K239" s="84"/>
      <c r="L239" s="45"/>
      <c r="M239" s="43"/>
      <c r="N239" s="42"/>
      <c r="O239" s="42"/>
      <c r="P239" s="229"/>
      <c r="Q239" s="42"/>
      <c r="R239" s="42"/>
      <c r="S239" s="42"/>
      <c r="T239" s="42"/>
      <c r="U239" s="67"/>
      <c r="V239" s="220"/>
      <c r="W239" s="48"/>
      <c r="X239" s="49"/>
      <c r="Y239" s="43"/>
      <c r="Z239" s="49"/>
      <c r="AA239" s="43"/>
      <c r="AB239" s="43"/>
      <c r="AC239" s="49"/>
      <c r="AE239" s="43"/>
      <c r="AF239" s="69"/>
      <c r="AI239" s="46"/>
      <c r="AJ239" s="138"/>
      <c r="AK239" s="138"/>
      <c r="AL239" s="138"/>
      <c r="AM239" s="42"/>
      <c r="AO239" s="42"/>
      <c r="AQ239" s="43"/>
      <c r="AR239" s="43"/>
      <c r="AS239" s="44"/>
      <c r="AT239" s="152"/>
      <c r="AU239" s="73"/>
      <c r="AW239" s="42"/>
      <c r="AX239" s="42"/>
      <c r="AY239" s="45"/>
      <c r="AZ239" s="47"/>
      <c r="BG239" s="43"/>
      <c r="BI239" s="43"/>
      <c r="BJ239" s="43"/>
      <c r="BK239" s="43"/>
      <c r="BL239" s="43"/>
      <c r="BM239" s="43"/>
      <c r="BO239" s="43"/>
      <c r="BR239" s="43"/>
      <c r="BS239" s="43"/>
      <c r="BW239" s="43"/>
      <c r="CC239" s="43"/>
      <c r="CE239" s="43"/>
      <c r="CF239" s="43"/>
      <c r="CH239" s="43"/>
      <c r="CK239" s="43"/>
    </row>
    <row r="240" spans="2:89" x14ac:dyDescent="0.25">
      <c r="B240" s="89"/>
      <c r="C240" s="123"/>
      <c r="D240" s="47"/>
      <c r="E240" s="40"/>
      <c r="F240" s="43"/>
      <c r="G240" s="43"/>
      <c r="H240" s="41"/>
      <c r="I240" s="42"/>
      <c r="J240" s="42"/>
      <c r="K240" s="84"/>
      <c r="L240" s="45"/>
      <c r="M240" s="43"/>
      <c r="N240" s="42"/>
      <c r="O240" s="42"/>
      <c r="P240" s="223"/>
      <c r="Q240" s="42"/>
      <c r="R240" s="42"/>
      <c r="S240" s="42"/>
      <c r="T240" s="42"/>
      <c r="U240" s="67"/>
      <c r="V240" s="220"/>
      <c r="W240" s="48"/>
      <c r="X240" s="49"/>
      <c r="Y240" s="43"/>
      <c r="Z240" s="49"/>
      <c r="AA240" s="43"/>
      <c r="AB240" s="43"/>
      <c r="AC240" s="49"/>
      <c r="AE240" s="43"/>
      <c r="AF240" s="69"/>
      <c r="AI240" s="46"/>
      <c r="AJ240" s="138"/>
      <c r="AK240" s="138"/>
      <c r="AL240" s="138"/>
      <c r="AM240" s="42"/>
      <c r="AO240" s="42"/>
      <c r="AQ240" s="43"/>
      <c r="AR240" s="43"/>
      <c r="AS240" s="44"/>
      <c r="AT240" s="44"/>
      <c r="AU240" s="44"/>
      <c r="AW240" s="42"/>
      <c r="AX240" s="42"/>
      <c r="AY240" s="45"/>
      <c r="AZ240" s="47"/>
      <c r="BG240" s="43"/>
      <c r="BI240" s="43"/>
      <c r="BJ240" s="43"/>
      <c r="BK240" s="43"/>
      <c r="BL240" s="43"/>
      <c r="BM240" s="43"/>
      <c r="BO240" s="43"/>
      <c r="BR240" s="43"/>
      <c r="BS240" s="43"/>
      <c r="BW240" s="43"/>
      <c r="CC240" s="43"/>
      <c r="CE240" s="43"/>
      <c r="CF240" s="43"/>
      <c r="CH240" s="43"/>
      <c r="CK240" s="43"/>
    </row>
    <row r="241" spans="2:89" x14ac:dyDescent="0.25">
      <c r="B241" s="89"/>
      <c r="C241" s="123"/>
      <c r="D241" s="47"/>
      <c r="E241" s="40"/>
      <c r="F241" s="43"/>
      <c r="G241" s="43"/>
      <c r="H241" s="41"/>
      <c r="I241" s="42"/>
      <c r="J241" s="42"/>
      <c r="K241" s="84"/>
      <c r="L241" s="45"/>
      <c r="M241" s="43"/>
      <c r="N241" s="42"/>
      <c r="O241" s="42"/>
      <c r="P241" s="229"/>
      <c r="Q241" s="42"/>
      <c r="R241" s="42"/>
      <c r="S241" s="42"/>
      <c r="T241" s="42"/>
      <c r="U241" s="67"/>
      <c r="V241" s="220"/>
      <c r="W241" s="48"/>
      <c r="X241" s="49"/>
      <c r="Y241" s="43"/>
      <c r="Z241" s="49"/>
      <c r="AA241" s="43"/>
      <c r="AB241" s="43"/>
      <c r="AC241" s="49"/>
      <c r="AE241" s="43"/>
      <c r="AF241" s="69"/>
      <c r="AI241" s="46"/>
      <c r="AJ241" s="138"/>
      <c r="AK241" s="138"/>
      <c r="AL241" s="138"/>
      <c r="AM241" s="42"/>
      <c r="AO241" s="42"/>
      <c r="AQ241" s="43"/>
      <c r="AR241" s="43"/>
      <c r="AS241" s="44"/>
      <c r="AT241" s="152"/>
      <c r="AU241" s="44"/>
      <c r="AW241" s="42"/>
      <c r="AX241" s="42"/>
      <c r="AY241" s="45"/>
      <c r="AZ241" s="47"/>
      <c r="BG241" s="43"/>
      <c r="BI241" s="43"/>
      <c r="BJ241" s="43"/>
      <c r="BK241" s="43"/>
      <c r="BL241" s="43"/>
      <c r="BM241" s="43"/>
      <c r="BO241" s="43"/>
      <c r="BR241" s="43"/>
      <c r="BS241" s="43"/>
      <c r="BW241" s="43"/>
      <c r="CC241" s="43"/>
      <c r="CE241" s="43"/>
      <c r="CF241" s="43"/>
      <c r="CH241" s="43"/>
      <c r="CK241" s="43"/>
    </row>
    <row r="242" spans="2:89" x14ac:dyDescent="0.25">
      <c r="B242" s="89"/>
      <c r="C242" s="123"/>
      <c r="D242" s="47"/>
      <c r="E242" s="40"/>
      <c r="F242" s="43"/>
      <c r="G242" s="43"/>
      <c r="H242" s="41"/>
      <c r="I242" s="42"/>
      <c r="J242" s="42"/>
      <c r="K242" s="84"/>
      <c r="L242" s="45"/>
      <c r="M242" s="43"/>
      <c r="N242" s="42"/>
      <c r="O242" s="42"/>
      <c r="P242" s="229"/>
      <c r="Q242" s="42"/>
      <c r="R242" s="42"/>
      <c r="S242" s="42"/>
      <c r="T242" s="42"/>
      <c r="U242" s="67"/>
      <c r="V242" s="220"/>
      <c r="W242" s="48"/>
      <c r="X242" s="49"/>
      <c r="Y242" s="43"/>
      <c r="Z242" s="49"/>
      <c r="AA242" s="43"/>
      <c r="AB242" s="43"/>
      <c r="AC242" s="49"/>
      <c r="AE242" s="43"/>
      <c r="AF242" s="69"/>
      <c r="AI242" s="46"/>
      <c r="AJ242" s="138"/>
      <c r="AK242" s="138"/>
      <c r="AL242" s="138"/>
      <c r="AM242" s="42"/>
      <c r="AO242" s="42"/>
      <c r="AQ242" s="43"/>
      <c r="AR242" s="43"/>
      <c r="AS242" s="44"/>
      <c r="AT242" s="44"/>
      <c r="AU242" s="44"/>
      <c r="AW242" s="42"/>
      <c r="AX242" s="42"/>
      <c r="AY242" s="45"/>
      <c r="AZ242" s="47"/>
      <c r="BG242" s="43"/>
      <c r="BI242" s="43"/>
      <c r="BJ242" s="43"/>
      <c r="BK242" s="43"/>
      <c r="BL242" s="43"/>
      <c r="BM242" s="43"/>
      <c r="BO242" s="43"/>
      <c r="BR242" s="43"/>
      <c r="BS242" s="43"/>
      <c r="BW242" s="43"/>
      <c r="CC242" s="43"/>
      <c r="CE242" s="43"/>
      <c r="CF242" s="43"/>
      <c r="CH242" s="43"/>
      <c r="CK242" s="43"/>
    </row>
    <row r="243" spans="2:89" x14ac:dyDescent="0.25">
      <c r="B243" s="89"/>
      <c r="C243" s="123"/>
      <c r="D243" s="47"/>
      <c r="E243" s="40"/>
      <c r="F243" s="43"/>
      <c r="G243" s="43"/>
      <c r="H243" s="41"/>
      <c r="I243" s="42"/>
      <c r="J243" s="42"/>
      <c r="K243" s="84"/>
      <c r="L243" s="45"/>
      <c r="M243" s="43"/>
      <c r="N243" s="42"/>
      <c r="O243" s="42"/>
      <c r="P243" s="229"/>
      <c r="Q243" s="42"/>
      <c r="R243" s="42"/>
      <c r="S243" s="42"/>
      <c r="T243" s="42"/>
      <c r="U243" s="67"/>
      <c r="V243" s="220"/>
      <c r="W243" s="48"/>
      <c r="X243" s="49"/>
      <c r="Y243" s="43"/>
      <c r="Z243" s="49"/>
      <c r="AA243" s="43"/>
      <c r="AB243" s="43"/>
      <c r="AC243" s="49"/>
      <c r="AE243" s="43"/>
      <c r="AF243" s="69"/>
      <c r="AI243" s="46"/>
      <c r="AJ243" s="138"/>
      <c r="AK243" s="138"/>
      <c r="AL243" s="138"/>
      <c r="AM243" s="42"/>
      <c r="AO243" s="42"/>
      <c r="AQ243" s="43"/>
      <c r="AR243" s="43"/>
      <c r="AS243" s="44"/>
      <c r="AT243" s="152"/>
      <c r="AU243" s="44"/>
      <c r="AW243" s="42"/>
      <c r="AX243" s="42"/>
      <c r="AY243" s="45"/>
      <c r="AZ243" s="47"/>
      <c r="BG243" s="43"/>
      <c r="BI243" s="43"/>
      <c r="BJ243" s="43"/>
      <c r="BK243" s="43"/>
      <c r="BL243" s="43"/>
      <c r="BM243" s="43"/>
      <c r="BO243" s="43"/>
      <c r="BR243" s="43"/>
      <c r="BS243" s="43"/>
      <c r="BW243" s="43"/>
      <c r="CC243" s="43"/>
      <c r="CE243" s="43"/>
      <c r="CF243" s="43"/>
      <c r="CH243" s="43"/>
      <c r="CK243" s="43"/>
    </row>
    <row r="244" spans="2:89" x14ac:dyDescent="0.25">
      <c r="B244" s="187"/>
      <c r="C244" s="123"/>
      <c r="D244" s="143"/>
      <c r="E244" s="188"/>
      <c r="F244" s="144"/>
      <c r="G244" s="144"/>
      <c r="H244" s="183"/>
      <c r="I244" s="204"/>
      <c r="J244" s="208"/>
      <c r="K244" s="184"/>
      <c r="L244" s="45"/>
      <c r="M244" s="206"/>
      <c r="N244" s="42"/>
      <c r="O244" s="42"/>
      <c r="P244" s="229"/>
      <c r="Q244" s="42"/>
      <c r="R244" s="42"/>
      <c r="S244" s="227"/>
      <c r="T244" s="42"/>
      <c r="U244" s="185"/>
      <c r="V244" s="220"/>
      <c r="W244" s="48"/>
      <c r="X244" s="49"/>
      <c r="Y244" s="43"/>
      <c r="Z244" s="49"/>
      <c r="AA244" s="43"/>
      <c r="AB244" s="43"/>
      <c r="AC244" s="49"/>
      <c r="AE244" s="43"/>
      <c r="AF244" s="69"/>
      <c r="AG244" s="69"/>
      <c r="AI244" s="46"/>
      <c r="AJ244" s="138"/>
      <c r="AK244" s="138"/>
      <c r="AL244" s="138"/>
      <c r="AM244" s="42"/>
      <c r="AO244" s="42"/>
      <c r="AQ244" s="43"/>
      <c r="AR244" s="43"/>
      <c r="AS244" s="44"/>
      <c r="AT244" s="44"/>
      <c r="AU244" s="44"/>
      <c r="AW244" s="42"/>
      <c r="AX244" s="42"/>
      <c r="AY244" s="45"/>
      <c r="AZ244" s="47"/>
      <c r="BG244" s="43"/>
      <c r="BI244" s="43"/>
      <c r="BJ244" s="43"/>
      <c r="BK244" s="43"/>
      <c r="BL244" s="43"/>
      <c r="BM244" s="43"/>
      <c r="BO244" s="43"/>
      <c r="BR244" s="43"/>
      <c r="BS244" s="43"/>
      <c r="BW244" s="43"/>
      <c r="CC244" s="43"/>
      <c r="CE244" s="43"/>
      <c r="CF244" s="43"/>
      <c r="CH244" s="43"/>
      <c r="CK244" s="43"/>
    </row>
    <row r="245" spans="2:89" x14ac:dyDescent="0.25">
      <c r="B245" s="187"/>
      <c r="C245" s="123"/>
      <c r="D245" s="143"/>
      <c r="E245" s="188"/>
      <c r="F245" s="111"/>
      <c r="G245" s="111"/>
      <c r="H245" s="183"/>
      <c r="I245" s="113"/>
      <c r="J245" s="209"/>
      <c r="K245" s="84"/>
      <c r="L245" s="45"/>
      <c r="M245" s="132"/>
      <c r="N245" s="42"/>
      <c r="O245" s="42"/>
      <c r="P245" s="229"/>
      <c r="Q245" s="42"/>
      <c r="R245" s="42"/>
      <c r="S245" s="227"/>
      <c r="T245" s="42"/>
      <c r="U245" s="185"/>
      <c r="V245" s="222"/>
      <c r="W245" s="48"/>
      <c r="X245" s="49"/>
      <c r="Y245" s="43"/>
      <c r="Z245" s="49"/>
      <c r="AA245" s="43"/>
      <c r="AB245" s="43"/>
      <c r="AC245" s="49"/>
      <c r="AE245" s="43"/>
      <c r="AF245" s="69"/>
      <c r="AG245" s="69"/>
      <c r="AI245" s="46"/>
      <c r="AJ245" s="138"/>
      <c r="AK245" s="138"/>
      <c r="AL245" s="138"/>
      <c r="AM245" s="42"/>
      <c r="AO245" s="42"/>
      <c r="AQ245" s="43"/>
      <c r="AR245" s="43"/>
      <c r="AS245" s="44"/>
      <c r="AT245" s="152"/>
      <c r="AU245" s="44"/>
      <c r="AW245" s="42"/>
      <c r="AX245" s="42"/>
      <c r="AY245" s="45"/>
      <c r="AZ245" s="47"/>
      <c r="BG245" s="43"/>
      <c r="BI245" s="43"/>
      <c r="BJ245" s="43"/>
      <c r="BK245" s="43"/>
      <c r="BL245" s="43"/>
      <c r="BM245" s="43"/>
      <c r="BO245" s="43"/>
      <c r="BR245" s="43"/>
      <c r="BS245" s="43"/>
      <c r="BW245" s="43"/>
      <c r="CC245" s="43"/>
      <c r="CE245" s="43"/>
      <c r="CF245" s="43"/>
      <c r="CH245" s="43"/>
      <c r="CK245" s="43"/>
    </row>
    <row r="246" spans="2:89" x14ac:dyDescent="0.25">
      <c r="B246" s="89"/>
      <c r="C246" s="123"/>
      <c r="D246" s="47"/>
      <c r="E246" s="40"/>
      <c r="F246" s="43"/>
      <c r="G246" s="43"/>
      <c r="H246" s="41"/>
      <c r="I246" s="42"/>
      <c r="J246" s="42"/>
      <c r="K246" s="84"/>
      <c r="L246" s="45"/>
      <c r="M246" s="43"/>
      <c r="N246" s="42"/>
      <c r="O246" s="42"/>
      <c r="P246" s="42"/>
      <c r="Q246" s="42"/>
      <c r="R246" s="42"/>
      <c r="S246" s="42"/>
      <c r="T246" s="42"/>
      <c r="U246" s="67"/>
      <c r="V246" s="220"/>
      <c r="W246" s="48"/>
      <c r="X246" s="49"/>
      <c r="Y246" s="43"/>
      <c r="Z246" s="49"/>
      <c r="AA246" s="43"/>
      <c r="AB246" s="43"/>
      <c r="AC246" s="49"/>
      <c r="AE246" s="43"/>
      <c r="AF246" s="69"/>
      <c r="AI246" s="46"/>
      <c r="AJ246" s="138"/>
      <c r="AK246" s="138"/>
      <c r="AL246" s="138"/>
      <c r="AM246" s="42"/>
      <c r="AO246" s="42"/>
      <c r="AQ246" s="43"/>
      <c r="AR246" s="43"/>
      <c r="AS246" s="44"/>
      <c r="AT246" s="44"/>
      <c r="AU246" s="44"/>
      <c r="AW246" s="42"/>
      <c r="AX246" s="42"/>
      <c r="AY246" s="45"/>
      <c r="AZ246" s="47"/>
      <c r="BG246" s="43"/>
      <c r="BI246" s="43"/>
      <c r="BJ246" s="43"/>
      <c r="BK246" s="43"/>
      <c r="BL246" s="43"/>
      <c r="BM246" s="43"/>
      <c r="BO246" s="43"/>
      <c r="BR246" s="43"/>
      <c r="BS246" s="43"/>
      <c r="BW246" s="43"/>
      <c r="CC246" s="43"/>
      <c r="CE246" s="43"/>
      <c r="CF246" s="43"/>
      <c r="CH246" s="43"/>
      <c r="CK246" s="43"/>
    </row>
    <row r="247" spans="2:89" x14ac:dyDescent="0.25">
      <c r="B247" s="89"/>
      <c r="C247" s="123"/>
      <c r="D247" s="47"/>
      <c r="E247" s="40"/>
      <c r="F247" s="43"/>
      <c r="G247" s="43"/>
      <c r="H247" s="41"/>
      <c r="I247" s="42"/>
      <c r="J247" s="42"/>
      <c r="K247" s="84"/>
      <c r="L247" s="45"/>
      <c r="M247" s="43"/>
      <c r="N247" s="42"/>
      <c r="O247" s="42"/>
      <c r="P247" s="42"/>
      <c r="Q247" s="42"/>
      <c r="R247" s="42"/>
      <c r="S247" s="42"/>
      <c r="T247" s="42"/>
      <c r="U247" s="67"/>
      <c r="V247" s="220"/>
      <c r="W247" s="48"/>
      <c r="X247" s="49"/>
      <c r="Y247" s="43"/>
      <c r="Z247" s="49"/>
      <c r="AA247" s="43"/>
      <c r="AB247" s="43"/>
      <c r="AC247" s="49"/>
      <c r="AE247" s="43"/>
      <c r="AF247" s="69"/>
      <c r="AI247" s="46"/>
      <c r="AJ247" s="138"/>
      <c r="AK247" s="138"/>
      <c r="AL247" s="138"/>
      <c r="AM247" s="42"/>
      <c r="AO247" s="42"/>
      <c r="AQ247" s="43"/>
      <c r="AR247" s="43"/>
      <c r="AS247" s="44"/>
      <c r="AT247" s="152"/>
      <c r="AU247" s="44"/>
      <c r="AW247" s="42"/>
      <c r="AX247" s="42"/>
      <c r="AY247" s="45"/>
      <c r="AZ247" s="47"/>
      <c r="BG247" s="43"/>
      <c r="BI247" s="43"/>
      <c r="BJ247" s="43"/>
      <c r="BK247" s="43"/>
      <c r="BL247" s="43"/>
      <c r="BM247" s="43"/>
      <c r="BO247" s="43"/>
      <c r="BR247" s="43"/>
      <c r="BS247" s="43"/>
      <c r="BW247" s="43"/>
      <c r="CC247" s="43"/>
      <c r="CE247" s="43"/>
      <c r="CF247" s="43"/>
      <c r="CH247" s="43"/>
      <c r="CK247" s="43"/>
    </row>
    <row r="248" spans="2:89" x14ac:dyDescent="0.25">
      <c r="B248" s="89"/>
      <c r="C248" s="123"/>
      <c r="D248" s="47"/>
      <c r="E248" s="40"/>
      <c r="F248" s="43"/>
      <c r="G248" s="43"/>
      <c r="H248" s="41"/>
      <c r="I248" s="42"/>
      <c r="J248" s="42"/>
      <c r="K248" s="84"/>
      <c r="L248" s="45"/>
      <c r="M248" s="43"/>
      <c r="N248" s="42"/>
      <c r="O248" s="42"/>
      <c r="P248" s="42"/>
      <c r="Q248" s="42"/>
      <c r="R248" s="42"/>
      <c r="S248" s="42"/>
      <c r="T248" s="42"/>
      <c r="U248" s="67"/>
      <c r="V248" s="220"/>
      <c r="W248" s="48"/>
      <c r="X248" s="49"/>
      <c r="Y248" s="43"/>
      <c r="Z248" s="49"/>
      <c r="AA248" s="43"/>
      <c r="AB248" s="43"/>
      <c r="AC248" s="49"/>
      <c r="AE248" s="43"/>
      <c r="AF248" s="69"/>
      <c r="AI248" s="46"/>
      <c r="AJ248" s="138"/>
      <c r="AK248" s="138"/>
      <c r="AL248" s="138"/>
      <c r="AM248" s="42"/>
      <c r="AO248" s="42"/>
      <c r="AQ248" s="43"/>
      <c r="AR248" s="43"/>
      <c r="AS248" s="44"/>
      <c r="AT248" s="44"/>
      <c r="AU248" s="44"/>
      <c r="AW248" s="42"/>
      <c r="AX248" s="42"/>
      <c r="AY248" s="45"/>
      <c r="AZ248" s="47"/>
      <c r="BG248" s="43"/>
      <c r="BI248" s="43"/>
      <c r="BJ248" s="43"/>
      <c r="BK248" s="43"/>
      <c r="BL248" s="43"/>
      <c r="BM248" s="43"/>
      <c r="BO248" s="43"/>
      <c r="BR248" s="43"/>
      <c r="BS248" s="43"/>
      <c r="BW248" s="43"/>
      <c r="CC248" s="43"/>
      <c r="CE248" s="43"/>
      <c r="CF248" s="43"/>
      <c r="CH248" s="43"/>
      <c r="CK248" s="43"/>
    </row>
    <row r="249" spans="2:89" x14ac:dyDescent="0.25">
      <c r="B249" s="89"/>
      <c r="C249" s="123"/>
      <c r="D249" s="47"/>
      <c r="E249" s="40"/>
      <c r="F249" s="43"/>
      <c r="G249" s="43"/>
      <c r="H249" s="41"/>
      <c r="I249" s="42"/>
      <c r="J249" s="42"/>
      <c r="K249" s="84"/>
      <c r="L249" s="45"/>
      <c r="M249" s="43"/>
      <c r="N249" s="42"/>
      <c r="O249" s="42"/>
      <c r="P249" s="229"/>
      <c r="Q249" s="42"/>
      <c r="R249" s="42"/>
      <c r="S249" s="42"/>
      <c r="T249" s="42"/>
      <c r="U249" s="67"/>
      <c r="V249" s="220"/>
      <c r="W249" s="48"/>
      <c r="X249" s="49"/>
      <c r="Y249" s="43"/>
      <c r="Z249" s="49"/>
      <c r="AA249" s="43"/>
      <c r="AB249" s="43"/>
      <c r="AC249" s="49"/>
      <c r="AE249" s="43"/>
      <c r="AF249" s="69"/>
      <c r="AI249" s="46"/>
      <c r="AJ249" s="138"/>
      <c r="AK249" s="138"/>
      <c r="AL249" s="138"/>
      <c r="AM249" s="42"/>
      <c r="AO249" s="42"/>
      <c r="AQ249" s="43"/>
      <c r="AR249" s="43"/>
      <c r="AS249" s="44"/>
      <c r="AT249" s="152"/>
      <c r="AU249" s="44"/>
      <c r="AW249" s="42"/>
      <c r="AX249" s="42"/>
      <c r="AY249" s="45"/>
      <c r="AZ249" s="47"/>
      <c r="BG249" s="43"/>
      <c r="BI249" s="43"/>
      <c r="BJ249" s="43"/>
      <c r="BK249" s="43"/>
      <c r="BL249" s="43"/>
      <c r="BM249" s="43"/>
      <c r="BO249" s="43"/>
      <c r="BR249" s="43"/>
      <c r="BS249" s="43"/>
      <c r="BW249" s="43"/>
      <c r="CC249" s="43"/>
      <c r="CE249" s="43"/>
      <c r="CF249" s="43"/>
      <c r="CH249" s="43"/>
      <c r="CK249" s="43"/>
    </row>
    <row r="250" spans="2:89" x14ac:dyDescent="0.25">
      <c r="B250" s="89"/>
      <c r="C250" s="123"/>
      <c r="D250" s="47"/>
      <c r="E250" s="40"/>
      <c r="F250" s="43"/>
      <c r="G250" s="43"/>
      <c r="H250" s="41"/>
      <c r="I250" s="42"/>
      <c r="J250" s="42"/>
      <c r="K250" s="84"/>
      <c r="L250" s="45"/>
      <c r="M250" s="43"/>
      <c r="N250" s="42"/>
      <c r="O250" s="42"/>
      <c r="P250" s="42"/>
      <c r="Q250" s="42"/>
      <c r="R250" s="42"/>
      <c r="S250" s="42"/>
      <c r="T250" s="42"/>
      <c r="U250" s="67"/>
      <c r="V250" s="220"/>
      <c r="W250" s="48"/>
      <c r="X250" s="49"/>
      <c r="Y250" s="43"/>
      <c r="Z250" s="49"/>
      <c r="AA250" s="43"/>
      <c r="AB250" s="43"/>
      <c r="AC250" s="49"/>
      <c r="AE250" s="43"/>
      <c r="AF250" s="69"/>
      <c r="AI250" s="46"/>
      <c r="AJ250" s="138"/>
      <c r="AK250" s="138"/>
      <c r="AL250" s="138"/>
      <c r="AM250" s="42"/>
      <c r="AO250" s="42"/>
      <c r="AQ250" s="43"/>
      <c r="AR250" s="43"/>
      <c r="AS250" s="44"/>
      <c r="AT250" s="44"/>
      <c r="AU250" s="44"/>
      <c r="AW250" s="42"/>
      <c r="AX250" s="42"/>
      <c r="AY250" s="45"/>
      <c r="AZ250" s="47"/>
      <c r="BG250" s="43"/>
      <c r="BI250" s="43"/>
      <c r="BJ250" s="43"/>
      <c r="BK250" s="43"/>
      <c r="BL250" s="43"/>
      <c r="BM250" s="43"/>
      <c r="BO250" s="43"/>
      <c r="BR250" s="43"/>
      <c r="BS250" s="43"/>
      <c r="BW250" s="43"/>
      <c r="CC250" s="43"/>
      <c r="CE250" s="43"/>
      <c r="CF250" s="43"/>
      <c r="CH250" s="43"/>
      <c r="CK250" s="43"/>
    </row>
    <row r="251" spans="2:89" x14ac:dyDescent="0.25">
      <c r="B251" s="89"/>
      <c r="C251" s="123"/>
      <c r="D251" s="47"/>
      <c r="E251" s="40"/>
      <c r="F251" s="43"/>
      <c r="G251" s="43"/>
      <c r="H251" s="41"/>
      <c r="I251" s="42"/>
      <c r="J251" s="42"/>
      <c r="K251" s="84"/>
      <c r="L251" s="45"/>
      <c r="M251" s="50"/>
      <c r="N251" s="42"/>
      <c r="O251" s="42"/>
      <c r="P251" s="229"/>
      <c r="Q251" s="42"/>
      <c r="R251" s="42"/>
      <c r="S251" s="42"/>
      <c r="T251" s="42"/>
      <c r="U251" s="67"/>
      <c r="V251" s="220"/>
      <c r="W251" s="48"/>
      <c r="X251" s="49"/>
      <c r="Y251" s="43"/>
      <c r="Z251" s="49"/>
      <c r="AA251" s="43"/>
      <c r="AB251" s="43"/>
      <c r="AC251" s="49"/>
      <c r="AE251" s="43"/>
      <c r="AF251" s="69"/>
      <c r="AI251" s="46"/>
      <c r="AJ251" s="138"/>
      <c r="AK251" s="138"/>
      <c r="AL251" s="138"/>
      <c r="AM251" s="42"/>
      <c r="AO251" s="42"/>
      <c r="AQ251" s="43"/>
      <c r="AR251" s="43"/>
      <c r="AS251" s="44"/>
      <c r="AT251" s="152"/>
      <c r="AU251" s="44"/>
      <c r="AW251" s="42"/>
      <c r="AX251" s="42"/>
      <c r="AY251" s="45"/>
      <c r="AZ251" s="47"/>
      <c r="BG251" s="43"/>
      <c r="BI251" s="43"/>
      <c r="BJ251" s="43"/>
      <c r="BK251" s="43"/>
      <c r="BL251" s="43"/>
      <c r="BM251" s="43"/>
      <c r="BO251" s="43"/>
      <c r="BR251" s="43"/>
      <c r="BS251" s="43"/>
      <c r="BW251" s="43"/>
      <c r="CC251" s="43"/>
      <c r="CE251" s="43"/>
      <c r="CF251" s="43"/>
      <c r="CH251" s="43"/>
      <c r="CK251" s="43"/>
    </row>
    <row r="252" spans="2:89" x14ac:dyDescent="0.25">
      <c r="B252" s="89"/>
      <c r="C252" s="123"/>
      <c r="D252" s="47"/>
      <c r="E252" s="40"/>
      <c r="F252" s="43"/>
      <c r="G252" s="43"/>
      <c r="H252" s="41"/>
      <c r="I252" s="205"/>
      <c r="J252" s="42"/>
      <c r="K252" s="84"/>
      <c r="L252" s="45"/>
      <c r="M252" s="43"/>
      <c r="N252" s="42"/>
      <c r="O252" s="42"/>
      <c r="P252" s="229"/>
      <c r="Q252" s="42"/>
      <c r="R252" s="42"/>
      <c r="S252" s="42"/>
      <c r="T252" s="42"/>
      <c r="U252" s="67"/>
      <c r="V252" s="220"/>
      <c r="W252" s="48"/>
      <c r="X252" s="49"/>
      <c r="Y252" s="43"/>
      <c r="Z252" s="49"/>
      <c r="AA252" s="43"/>
      <c r="AB252" s="43"/>
      <c r="AC252" s="49"/>
      <c r="AE252" s="43"/>
      <c r="AF252" s="69"/>
      <c r="AH252" s="150"/>
      <c r="AI252" s="46"/>
      <c r="AJ252" s="138"/>
      <c r="AK252" s="138"/>
      <c r="AL252" s="138"/>
      <c r="AM252" s="42"/>
      <c r="AO252" s="42"/>
      <c r="AQ252" s="43"/>
      <c r="AR252" s="43"/>
      <c r="AS252" s="44"/>
      <c r="AT252" s="44"/>
      <c r="AU252" s="44"/>
      <c r="AW252" s="42"/>
      <c r="AX252" s="42"/>
      <c r="AY252" s="45"/>
      <c r="AZ252" s="47"/>
      <c r="BG252" s="43"/>
      <c r="BI252" s="43"/>
      <c r="BJ252" s="43"/>
      <c r="BK252" s="43"/>
      <c r="BL252" s="43"/>
      <c r="BM252" s="43"/>
      <c r="BO252" s="43"/>
      <c r="BR252" s="43"/>
      <c r="BS252" s="43"/>
      <c r="BW252" s="43"/>
      <c r="CC252" s="43"/>
      <c r="CE252" s="43"/>
      <c r="CF252" s="43"/>
      <c r="CH252" s="43"/>
      <c r="CK252" s="43"/>
    </row>
    <row r="253" spans="2:89" x14ac:dyDescent="0.25">
      <c r="B253" s="191"/>
      <c r="C253" s="123"/>
      <c r="D253" s="47"/>
      <c r="E253" s="40"/>
      <c r="F253" s="111"/>
      <c r="G253" s="111"/>
      <c r="H253" s="183"/>
      <c r="I253" s="189"/>
      <c r="J253" s="189"/>
      <c r="K253" s="84"/>
      <c r="L253" s="45"/>
      <c r="M253" s="50"/>
      <c r="N253" s="42"/>
      <c r="O253" s="42"/>
      <c r="P253" s="230"/>
      <c r="Q253" s="42"/>
      <c r="R253" s="42"/>
      <c r="S253" s="227"/>
      <c r="T253" s="42"/>
      <c r="U253" s="185"/>
      <c r="V253" s="220"/>
      <c r="W253" s="48"/>
      <c r="X253" s="49"/>
      <c r="Y253" s="43"/>
      <c r="Z253" s="49"/>
      <c r="AA253" s="43"/>
      <c r="AB253" s="43"/>
      <c r="AC253" s="49"/>
      <c r="AE253" s="43"/>
      <c r="AF253" s="69"/>
      <c r="AG253" s="69"/>
      <c r="AI253" s="46"/>
      <c r="AJ253" s="138"/>
      <c r="AK253" s="186"/>
      <c r="AL253" s="186"/>
      <c r="AM253" s="74"/>
      <c r="AN253" s="74"/>
      <c r="AO253" s="74"/>
      <c r="AP253" s="74"/>
      <c r="AQ253" s="81"/>
      <c r="AR253" s="81"/>
      <c r="AS253" s="82"/>
      <c r="AT253" s="82"/>
      <c r="AU253" s="249"/>
      <c r="AV253" s="81"/>
      <c r="AW253" s="74"/>
      <c r="AX253" s="74"/>
      <c r="AY253" s="74"/>
      <c r="AZ253" s="83"/>
      <c r="BG253" s="43"/>
      <c r="BI253" s="43"/>
      <c r="BJ253" s="43"/>
      <c r="BK253" s="43"/>
      <c r="BL253" s="43"/>
      <c r="BM253" s="43"/>
      <c r="BO253" s="43"/>
      <c r="BR253" s="43"/>
      <c r="BS253" s="43"/>
      <c r="BW253" s="43"/>
      <c r="CC253" s="43"/>
      <c r="CE253" s="43"/>
      <c r="CF253" s="43"/>
      <c r="CH253" s="43"/>
      <c r="CK253" s="43"/>
    </row>
    <row r="254" spans="2:89" x14ac:dyDescent="0.25">
      <c r="B254" s="89"/>
      <c r="C254" s="123"/>
      <c r="D254" s="47"/>
      <c r="E254" s="40"/>
      <c r="F254" s="43"/>
      <c r="G254" s="43"/>
      <c r="H254" s="41"/>
      <c r="I254" s="42"/>
      <c r="J254" s="42"/>
      <c r="K254" s="84"/>
      <c r="L254" s="115"/>
      <c r="M254" s="43"/>
      <c r="N254" s="42"/>
      <c r="O254" s="42"/>
      <c r="P254" s="42"/>
      <c r="Q254" s="42"/>
      <c r="R254" s="42"/>
      <c r="S254" s="42"/>
      <c r="T254" s="42"/>
      <c r="U254" s="67"/>
      <c r="V254" s="220"/>
      <c r="W254" s="48"/>
      <c r="X254" s="49"/>
      <c r="Y254" s="43"/>
      <c r="Z254" s="49"/>
      <c r="AA254" s="43"/>
      <c r="AB254" s="43"/>
      <c r="AC254" s="49"/>
      <c r="AE254" s="43"/>
      <c r="AF254" s="69"/>
      <c r="AI254" s="46"/>
      <c r="AJ254" s="138"/>
      <c r="AK254" s="138"/>
      <c r="AL254" s="138"/>
      <c r="AM254" s="42"/>
      <c r="AO254" s="42"/>
      <c r="AQ254" s="43"/>
      <c r="AR254" s="43"/>
      <c r="AS254" s="44"/>
      <c r="AT254" s="152"/>
      <c r="AU254" s="44"/>
      <c r="AW254" s="42"/>
      <c r="AX254" s="42"/>
      <c r="AY254" s="45"/>
      <c r="AZ254" s="47"/>
      <c r="BG254" s="43"/>
      <c r="BI254" s="43"/>
      <c r="BJ254" s="43"/>
      <c r="BK254" s="43"/>
      <c r="BL254" s="43"/>
      <c r="BM254" s="43"/>
      <c r="BO254" s="43"/>
      <c r="BR254" s="43"/>
      <c r="BS254" s="43"/>
      <c r="BW254" s="43"/>
      <c r="CC254" s="43"/>
      <c r="CE254" s="43"/>
      <c r="CF254" s="43"/>
      <c r="CH254" s="43"/>
      <c r="CK254" s="43"/>
    </row>
    <row r="255" spans="2:89" x14ac:dyDescent="0.25">
      <c r="B255" s="89"/>
      <c r="C255" s="123"/>
      <c r="D255" s="47"/>
      <c r="E255" s="40"/>
      <c r="F255" s="43"/>
      <c r="G255" s="43"/>
      <c r="H255" s="41"/>
      <c r="I255" s="42"/>
      <c r="J255" s="42"/>
      <c r="K255" s="84"/>
      <c r="L255" s="45"/>
      <c r="M255" s="43"/>
      <c r="N255" s="42"/>
      <c r="O255" s="42"/>
      <c r="P255" s="229"/>
      <c r="Q255" s="42"/>
      <c r="R255" s="42"/>
      <c r="S255" s="42"/>
      <c r="T255" s="42"/>
      <c r="U255" s="67"/>
      <c r="V255" s="220"/>
      <c r="W255" s="48"/>
      <c r="X255" s="49"/>
      <c r="Y255" s="43"/>
      <c r="Z255" s="49"/>
      <c r="AA255" s="43"/>
      <c r="AB255" s="43"/>
      <c r="AC255" s="49"/>
      <c r="AE255" s="43"/>
      <c r="AF255" s="69"/>
      <c r="AI255" s="46"/>
      <c r="AJ255" s="138"/>
      <c r="AK255" s="138"/>
      <c r="AL255" s="138"/>
      <c r="AM255" s="42"/>
      <c r="AO255" s="42"/>
      <c r="AQ255" s="43"/>
      <c r="AR255" s="43"/>
      <c r="AS255" s="44"/>
      <c r="AT255" s="44"/>
      <c r="AU255" s="44"/>
      <c r="AW255" s="42"/>
      <c r="AX255" s="42"/>
      <c r="AY255" s="45"/>
      <c r="AZ255" s="47"/>
      <c r="BG255" s="43"/>
      <c r="BI255" s="43"/>
      <c r="BJ255" s="43"/>
      <c r="BK255" s="43"/>
      <c r="BL255" s="43"/>
      <c r="BM255" s="43"/>
      <c r="BO255" s="43"/>
      <c r="BR255" s="43"/>
      <c r="BS255" s="43"/>
      <c r="BW255" s="43"/>
      <c r="CC255" s="43"/>
      <c r="CE255" s="43"/>
      <c r="CF255" s="43"/>
      <c r="CH255" s="43"/>
      <c r="CK255" s="43"/>
    </row>
    <row r="256" spans="2:89" x14ac:dyDescent="0.25">
      <c r="B256" s="89"/>
      <c r="C256" s="123"/>
      <c r="D256" s="47"/>
      <c r="E256" s="40"/>
      <c r="F256" s="43"/>
      <c r="G256" s="43"/>
      <c r="H256" s="41"/>
      <c r="I256" s="42"/>
      <c r="J256" s="42"/>
      <c r="K256" s="84"/>
      <c r="L256" s="45"/>
      <c r="M256" s="43"/>
      <c r="N256" s="42"/>
      <c r="O256" s="42"/>
      <c r="P256" s="229"/>
      <c r="Q256" s="42"/>
      <c r="R256" s="42"/>
      <c r="S256" s="42"/>
      <c r="T256" s="42"/>
      <c r="U256" s="67"/>
      <c r="V256" s="222"/>
      <c r="W256" s="48"/>
      <c r="X256" s="49"/>
      <c r="Y256" s="43"/>
      <c r="Z256" s="49"/>
      <c r="AA256" s="43"/>
      <c r="AB256" s="43"/>
      <c r="AC256" s="49"/>
      <c r="AE256" s="43"/>
      <c r="AF256" s="69"/>
      <c r="AI256" s="46"/>
      <c r="AJ256" s="138"/>
      <c r="AK256" s="138"/>
      <c r="AL256" s="138"/>
      <c r="AM256" s="42"/>
      <c r="AO256" s="42"/>
      <c r="AQ256" s="43"/>
      <c r="AR256" s="43"/>
      <c r="AS256" s="44"/>
      <c r="AT256" s="152"/>
      <c r="AU256" s="44"/>
      <c r="AW256" s="42"/>
      <c r="AX256" s="42"/>
      <c r="AY256" s="45"/>
      <c r="AZ256" s="47"/>
      <c r="BG256" s="43"/>
      <c r="BI256" s="43"/>
      <c r="BJ256" s="43"/>
      <c r="BK256" s="43"/>
      <c r="BL256" s="43"/>
      <c r="BM256" s="43"/>
      <c r="BO256" s="43"/>
      <c r="BR256" s="43"/>
      <c r="BS256" s="43"/>
      <c r="BW256" s="43"/>
      <c r="CC256" s="43"/>
      <c r="CE256" s="43"/>
      <c r="CF256" s="43"/>
      <c r="CH256" s="43"/>
      <c r="CK256" s="43"/>
    </row>
    <row r="257" spans="2:89" ht="15.75" customHeight="1" x14ac:dyDescent="0.25">
      <c r="B257" s="89"/>
      <c r="C257" s="123"/>
      <c r="D257" s="47"/>
      <c r="E257" s="40"/>
      <c r="F257" s="43"/>
      <c r="G257" s="43"/>
      <c r="H257" s="41"/>
      <c r="I257" s="42"/>
      <c r="J257" s="42"/>
      <c r="K257" s="84"/>
      <c r="L257" s="45"/>
      <c r="M257" s="43"/>
      <c r="N257" s="42"/>
      <c r="O257" s="42"/>
      <c r="P257" s="229"/>
      <c r="Q257" s="42"/>
      <c r="R257" s="42"/>
      <c r="S257" s="42"/>
      <c r="T257" s="42"/>
      <c r="U257" s="67"/>
      <c r="V257" s="220"/>
      <c r="W257" s="48"/>
      <c r="X257" s="49"/>
      <c r="Y257" s="43"/>
      <c r="Z257" s="49"/>
      <c r="AA257" s="43"/>
      <c r="AB257" s="43"/>
      <c r="AC257" s="49"/>
      <c r="AE257" s="43"/>
      <c r="AF257" s="69"/>
      <c r="AI257" s="46"/>
      <c r="AJ257" s="138"/>
      <c r="AK257" s="138"/>
      <c r="AL257" s="138"/>
      <c r="AM257" s="42"/>
      <c r="AO257" s="42"/>
      <c r="AQ257" s="43"/>
      <c r="AR257" s="43"/>
      <c r="AS257" s="44"/>
      <c r="AT257" s="44"/>
      <c r="AU257" s="44"/>
      <c r="AW257" s="42"/>
      <c r="AX257" s="42"/>
      <c r="AY257" s="45"/>
      <c r="AZ257" s="47"/>
      <c r="BG257" s="43"/>
      <c r="BI257" s="43"/>
      <c r="BJ257" s="43"/>
      <c r="BK257" s="43"/>
      <c r="BL257" s="43"/>
      <c r="BM257" s="43"/>
      <c r="BO257" s="43"/>
      <c r="BR257" s="43"/>
      <c r="BS257" s="43"/>
      <c r="BW257" s="43"/>
      <c r="CC257" s="43"/>
      <c r="CE257" s="43"/>
      <c r="CF257" s="43"/>
      <c r="CH257" s="43"/>
      <c r="CK257" s="43"/>
    </row>
    <row r="258" spans="2:89" ht="15.75" customHeight="1" x14ac:dyDescent="0.25">
      <c r="B258" s="89"/>
      <c r="C258" s="123"/>
      <c r="D258" s="47"/>
      <c r="E258" s="40"/>
      <c r="F258" s="43"/>
      <c r="G258" s="43"/>
      <c r="H258" s="41"/>
      <c r="I258" s="42"/>
      <c r="J258" s="42"/>
      <c r="K258" s="84"/>
      <c r="L258" s="45"/>
      <c r="M258" s="43"/>
      <c r="N258" s="42"/>
      <c r="O258" s="42"/>
      <c r="P258" s="229"/>
      <c r="Q258" s="42"/>
      <c r="R258" s="42"/>
      <c r="S258" s="42"/>
      <c r="T258" s="42"/>
      <c r="U258" s="67"/>
      <c r="V258" s="220"/>
      <c r="W258" s="48"/>
      <c r="X258" s="49"/>
      <c r="Y258" s="43"/>
      <c r="Z258" s="49"/>
      <c r="AA258" s="43"/>
      <c r="AB258" s="43"/>
      <c r="AC258" s="49"/>
      <c r="AE258" s="43"/>
      <c r="AF258" s="69"/>
      <c r="AI258" s="46"/>
      <c r="AJ258" s="138"/>
      <c r="AK258" s="138"/>
      <c r="AL258" s="138"/>
      <c r="AM258" s="42"/>
      <c r="AO258" s="42"/>
      <c r="AQ258" s="43"/>
      <c r="AR258" s="43"/>
      <c r="AS258" s="44"/>
      <c r="AT258" s="152"/>
      <c r="AU258" s="44"/>
      <c r="AW258" s="42"/>
      <c r="AX258" s="42"/>
      <c r="AY258" s="45"/>
      <c r="AZ258" s="47"/>
      <c r="BG258" s="43"/>
      <c r="BI258" s="43"/>
      <c r="BJ258" s="43"/>
      <c r="BK258" s="43"/>
      <c r="BL258" s="43"/>
      <c r="BM258" s="43"/>
      <c r="BO258" s="43"/>
      <c r="BR258" s="43"/>
      <c r="BS258" s="43"/>
      <c r="BW258" s="43"/>
      <c r="CC258" s="43"/>
      <c r="CE258" s="43"/>
      <c r="CF258" s="43"/>
      <c r="CH258" s="43"/>
      <c r="CK258" s="43"/>
    </row>
    <row r="259" spans="2:89" x14ac:dyDescent="0.25">
      <c r="B259" s="187"/>
      <c r="C259" s="126"/>
      <c r="D259" s="143"/>
      <c r="E259" s="188"/>
      <c r="F259" s="111"/>
      <c r="G259" s="111"/>
      <c r="H259" s="183"/>
      <c r="I259" s="209"/>
      <c r="J259" s="209"/>
      <c r="K259" s="84"/>
      <c r="L259" s="45"/>
      <c r="M259" s="45"/>
      <c r="N259" s="42"/>
      <c r="O259" s="42"/>
      <c r="P259" s="229"/>
      <c r="Q259" s="42"/>
      <c r="R259" s="42"/>
      <c r="S259" s="227"/>
      <c r="T259" s="42"/>
      <c r="U259" s="185"/>
      <c r="V259" s="220"/>
      <c r="W259" s="48"/>
      <c r="X259" s="49"/>
      <c r="Y259" s="43"/>
      <c r="Z259" s="49"/>
      <c r="AA259" s="43"/>
      <c r="AB259" s="43"/>
      <c r="AC259" s="49"/>
      <c r="AE259" s="43"/>
      <c r="AF259" s="69"/>
      <c r="AG259" s="69"/>
      <c r="AI259" s="46"/>
      <c r="AJ259" s="138"/>
      <c r="AK259" s="138"/>
      <c r="AL259" s="138"/>
      <c r="AM259" s="42"/>
      <c r="AO259" s="42"/>
      <c r="AQ259" s="43"/>
      <c r="AR259" s="43"/>
      <c r="AS259" s="44"/>
      <c r="AT259" s="44"/>
      <c r="AU259" s="44"/>
      <c r="AW259" s="42"/>
      <c r="AX259" s="42"/>
      <c r="AY259" s="45"/>
      <c r="AZ259" s="47"/>
      <c r="BG259" s="43"/>
      <c r="BI259" s="43"/>
      <c r="BJ259" s="43"/>
      <c r="BK259" s="43"/>
      <c r="BL259" s="43"/>
      <c r="BM259" s="43"/>
      <c r="BO259" s="43"/>
      <c r="BR259" s="43"/>
      <c r="BS259" s="43"/>
      <c r="BW259" s="43"/>
      <c r="CC259" s="43"/>
      <c r="CE259" s="43"/>
      <c r="CF259" s="43"/>
      <c r="CH259" s="43"/>
      <c r="CK259" s="43"/>
    </row>
    <row r="260" spans="2:89" x14ac:dyDescent="0.25">
      <c r="B260" s="89"/>
      <c r="C260" s="123"/>
      <c r="D260" s="47"/>
      <c r="E260" s="40"/>
      <c r="F260" s="43"/>
      <c r="G260" s="43"/>
      <c r="H260" s="41"/>
      <c r="I260" s="42"/>
      <c r="J260" s="42"/>
      <c r="K260" s="84"/>
      <c r="L260" s="114"/>
      <c r="M260" s="43"/>
      <c r="N260" s="42"/>
      <c r="O260" s="42"/>
      <c r="P260" s="229"/>
      <c r="Q260" s="42"/>
      <c r="R260" s="42"/>
      <c r="S260" s="42"/>
      <c r="T260" s="42"/>
      <c r="U260" s="67"/>
      <c r="V260" s="220"/>
      <c r="W260" s="48"/>
      <c r="X260" s="49"/>
      <c r="Y260" s="43"/>
      <c r="Z260" s="49"/>
      <c r="AA260" s="43"/>
      <c r="AB260" s="43"/>
      <c r="AC260" s="49"/>
      <c r="AE260" s="43"/>
      <c r="AF260" s="69"/>
      <c r="AI260" s="46"/>
      <c r="AJ260" s="138"/>
      <c r="AK260" s="138"/>
      <c r="AL260" s="138"/>
      <c r="AM260" s="42"/>
      <c r="AO260" s="42"/>
      <c r="AQ260" s="43"/>
      <c r="AR260" s="43"/>
      <c r="AS260" s="44"/>
      <c r="AT260" s="152"/>
      <c r="AU260" s="44"/>
      <c r="AW260" s="42"/>
      <c r="AX260" s="42"/>
      <c r="AY260" s="45"/>
      <c r="AZ260" s="47"/>
      <c r="BG260" s="43"/>
      <c r="BI260" s="43"/>
      <c r="BJ260" s="43"/>
      <c r="BK260" s="43"/>
      <c r="BL260" s="43"/>
      <c r="BM260" s="43"/>
      <c r="BO260" s="43"/>
      <c r="BR260" s="43"/>
      <c r="BS260" s="43"/>
      <c r="BW260" s="43"/>
      <c r="CC260" s="43"/>
      <c r="CE260" s="43"/>
      <c r="CF260" s="43"/>
      <c r="CH260" s="43"/>
      <c r="CK260" s="43"/>
    </row>
    <row r="261" spans="2:89" ht="15.75" customHeight="1" x14ac:dyDescent="0.25">
      <c r="B261" s="89"/>
      <c r="C261" s="123"/>
      <c r="D261" s="47"/>
      <c r="E261" s="40"/>
      <c r="F261" s="43"/>
      <c r="G261" s="43"/>
      <c r="H261" s="41"/>
      <c r="I261" s="42"/>
      <c r="J261" s="42"/>
      <c r="K261" s="84"/>
      <c r="L261" s="115"/>
      <c r="M261" s="43"/>
      <c r="N261" s="42"/>
      <c r="O261" s="42"/>
      <c r="P261" s="42"/>
      <c r="Q261" s="42"/>
      <c r="R261" s="42"/>
      <c r="S261" s="42"/>
      <c r="T261" s="42"/>
      <c r="U261" s="67"/>
      <c r="V261" s="220"/>
      <c r="W261" s="48"/>
      <c r="X261" s="49"/>
      <c r="Y261" s="43"/>
      <c r="Z261" s="49"/>
      <c r="AA261" s="43"/>
      <c r="AB261" s="43"/>
      <c r="AC261" s="49"/>
      <c r="AE261" s="43"/>
      <c r="AF261" s="69"/>
      <c r="AI261" s="46"/>
      <c r="AJ261" s="138"/>
      <c r="AK261" s="138"/>
      <c r="AL261" s="138"/>
      <c r="AM261" s="42"/>
      <c r="AO261" s="42"/>
      <c r="AQ261" s="43"/>
      <c r="AR261" s="43"/>
      <c r="AS261" s="44"/>
      <c r="AT261" s="44"/>
      <c r="AU261" s="44"/>
      <c r="AW261" s="42"/>
      <c r="AX261" s="42"/>
      <c r="AY261" s="45"/>
      <c r="AZ261" s="47"/>
      <c r="BG261" s="43"/>
      <c r="BI261" s="43"/>
      <c r="BJ261" s="43"/>
      <c r="BK261" s="43"/>
      <c r="BL261" s="43"/>
      <c r="BM261" s="43"/>
      <c r="BO261" s="43"/>
      <c r="BR261" s="43"/>
      <c r="BS261" s="43"/>
      <c r="BW261" s="43"/>
      <c r="CC261" s="43"/>
      <c r="CE261" s="43"/>
      <c r="CF261" s="43"/>
      <c r="CH261" s="43"/>
      <c r="CK261" s="43"/>
    </row>
    <row r="262" spans="2:89" x14ac:dyDescent="0.25">
      <c r="B262" s="89"/>
      <c r="C262" s="123"/>
      <c r="D262" s="47"/>
      <c r="E262" s="40"/>
      <c r="F262" s="43"/>
      <c r="G262" s="43"/>
      <c r="H262" s="41"/>
      <c r="I262" s="42"/>
      <c r="J262" s="42"/>
      <c r="K262" s="84"/>
      <c r="L262" s="45"/>
      <c r="M262" s="43"/>
      <c r="N262" s="42"/>
      <c r="O262" s="42"/>
      <c r="P262" s="229"/>
      <c r="Q262" s="42"/>
      <c r="R262" s="42"/>
      <c r="S262" s="42"/>
      <c r="T262" s="42"/>
      <c r="U262" s="67"/>
      <c r="V262" s="220"/>
      <c r="W262" s="48"/>
      <c r="X262" s="49"/>
      <c r="Y262" s="43"/>
      <c r="Z262" s="49"/>
      <c r="AA262" s="43"/>
      <c r="AB262" s="43"/>
      <c r="AC262" s="49"/>
      <c r="AE262" s="43"/>
      <c r="AF262" s="69"/>
      <c r="AI262" s="46"/>
      <c r="AJ262" s="138"/>
      <c r="AK262" s="138"/>
      <c r="AL262" s="138"/>
      <c r="AM262" s="42"/>
      <c r="AO262" s="42"/>
      <c r="AQ262" s="43"/>
      <c r="AR262" s="43"/>
      <c r="AS262" s="44"/>
      <c r="AT262" s="152"/>
      <c r="AU262" s="44"/>
      <c r="AW262" s="42"/>
      <c r="AX262" s="42"/>
      <c r="AY262" s="45"/>
      <c r="AZ262" s="47"/>
      <c r="BG262" s="43"/>
      <c r="BI262" s="43"/>
      <c r="BJ262" s="43"/>
      <c r="BK262" s="43"/>
      <c r="BL262" s="43"/>
      <c r="BM262" s="43"/>
      <c r="BO262" s="43"/>
      <c r="BR262" s="43"/>
      <c r="BS262" s="43"/>
      <c r="BW262" s="43"/>
      <c r="CC262" s="43"/>
      <c r="CE262" s="43"/>
      <c r="CF262" s="43"/>
      <c r="CH262" s="43"/>
      <c r="CK262" s="43"/>
    </row>
    <row r="263" spans="2:89" x14ac:dyDescent="0.25">
      <c r="B263" s="89"/>
      <c r="C263" s="123"/>
      <c r="D263" s="47"/>
      <c r="E263" s="40"/>
      <c r="F263" s="43"/>
      <c r="G263" s="43"/>
      <c r="H263" s="41"/>
      <c r="I263" s="42"/>
      <c r="J263" s="42"/>
      <c r="K263" s="84"/>
      <c r="L263" s="115"/>
      <c r="M263" s="43"/>
      <c r="N263" s="42"/>
      <c r="O263" s="42"/>
      <c r="P263" s="42"/>
      <c r="Q263" s="42"/>
      <c r="R263" s="42"/>
      <c r="S263" s="42"/>
      <c r="T263" s="42"/>
      <c r="U263" s="67"/>
      <c r="V263" s="220"/>
      <c r="W263" s="48"/>
      <c r="X263" s="49"/>
      <c r="Y263" s="43"/>
      <c r="Z263" s="49"/>
      <c r="AA263" s="43"/>
      <c r="AB263" s="43"/>
      <c r="AC263" s="49"/>
      <c r="AE263" s="43"/>
      <c r="AF263" s="69"/>
      <c r="AI263" s="46"/>
      <c r="AJ263" s="138"/>
      <c r="AK263" s="138"/>
      <c r="AL263" s="138"/>
      <c r="AM263" s="42"/>
      <c r="AO263" s="42"/>
      <c r="AQ263" s="43"/>
      <c r="AR263" s="43"/>
      <c r="AS263" s="44"/>
      <c r="AT263" s="44"/>
      <c r="AU263" s="44"/>
      <c r="AW263" s="42"/>
      <c r="AX263" s="42"/>
      <c r="AY263" s="45"/>
      <c r="AZ263" s="47"/>
      <c r="BG263" s="43"/>
      <c r="BI263" s="43"/>
      <c r="BJ263" s="43"/>
      <c r="BK263" s="43"/>
      <c r="BL263" s="43"/>
      <c r="BM263" s="43"/>
      <c r="BO263" s="43"/>
      <c r="BR263" s="43"/>
      <c r="BS263" s="43"/>
      <c r="BW263" s="43"/>
      <c r="CC263" s="43"/>
      <c r="CE263" s="43"/>
      <c r="CF263" s="43"/>
      <c r="CH263" s="43"/>
      <c r="CK263" s="43"/>
    </row>
    <row r="264" spans="2:89" x14ac:dyDescent="0.25">
      <c r="B264" s="89"/>
      <c r="C264" s="123"/>
      <c r="D264" s="47"/>
      <c r="E264" s="40"/>
      <c r="F264" s="43"/>
      <c r="G264" s="43"/>
      <c r="H264" s="41"/>
      <c r="I264" s="42"/>
      <c r="J264" s="42"/>
      <c r="K264" s="84"/>
      <c r="L264" s="45"/>
      <c r="M264" s="43"/>
      <c r="N264" s="42"/>
      <c r="O264" s="42"/>
      <c r="P264" s="229"/>
      <c r="Q264" s="42"/>
      <c r="R264" s="42"/>
      <c r="S264" s="42"/>
      <c r="T264" s="42"/>
      <c r="U264" s="67"/>
      <c r="V264" s="234"/>
      <c r="W264" s="48"/>
      <c r="X264" s="49"/>
      <c r="Y264" s="43"/>
      <c r="Z264" s="49"/>
      <c r="AA264" s="43"/>
      <c r="AB264" s="43"/>
      <c r="AC264" s="49"/>
      <c r="AE264" s="43"/>
      <c r="AF264" s="69"/>
      <c r="AI264" s="46"/>
      <c r="AJ264" s="138"/>
      <c r="AK264" s="138"/>
      <c r="AL264" s="138"/>
      <c r="AM264" s="42"/>
      <c r="AO264" s="42"/>
      <c r="AQ264" s="43"/>
      <c r="AR264" s="43"/>
      <c r="AS264" s="44"/>
      <c r="AT264" s="152"/>
      <c r="AU264" s="44"/>
      <c r="AW264" s="42"/>
      <c r="AX264" s="42"/>
      <c r="AY264" s="45"/>
      <c r="AZ264" s="47"/>
      <c r="BG264" s="43"/>
      <c r="BI264" s="43"/>
      <c r="BJ264" s="43"/>
      <c r="BK264" s="43"/>
      <c r="BL264" s="43"/>
      <c r="BM264" s="43"/>
      <c r="BO264" s="43"/>
      <c r="BR264" s="43"/>
      <c r="BS264" s="43"/>
      <c r="BW264" s="43"/>
      <c r="CC264" s="43"/>
      <c r="CE264" s="43"/>
      <c r="CF264" s="43"/>
      <c r="CH264" s="43"/>
      <c r="CK264" s="43"/>
    </row>
    <row r="265" spans="2:89" x14ac:dyDescent="0.25">
      <c r="B265" s="89"/>
      <c r="C265" s="123"/>
      <c r="D265" s="47"/>
      <c r="E265" s="40"/>
      <c r="F265" s="43"/>
      <c r="G265" s="43"/>
      <c r="H265" s="41"/>
      <c r="I265" s="42"/>
      <c r="J265" s="42"/>
      <c r="K265" s="84"/>
      <c r="L265" s="45"/>
      <c r="M265" s="43"/>
      <c r="N265" s="42"/>
      <c r="O265" s="42"/>
      <c r="P265" s="229"/>
      <c r="Q265" s="42"/>
      <c r="R265" s="42"/>
      <c r="S265" s="42"/>
      <c r="T265" s="42"/>
      <c r="U265" s="67"/>
      <c r="V265" s="220"/>
      <c r="W265" s="48"/>
      <c r="X265" s="49"/>
      <c r="Y265" s="43"/>
      <c r="Z265" s="49"/>
      <c r="AA265" s="43"/>
      <c r="AB265" s="43"/>
      <c r="AC265" s="49"/>
      <c r="AE265" s="43"/>
      <c r="AF265" s="69"/>
      <c r="AI265" s="46"/>
      <c r="AJ265" s="138"/>
      <c r="AK265" s="138"/>
      <c r="AL265" s="138"/>
      <c r="AM265" s="42"/>
      <c r="AO265" s="42"/>
      <c r="AQ265" s="43"/>
      <c r="AR265" s="43"/>
      <c r="AS265" s="44"/>
      <c r="AT265" s="44"/>
      <c r="AU265" s="44"/>
      <c r="AW265" s="42"/>
      <c r="AX265" s="42"/>
      <c r="AY265" s="45"/>
      <c r="AZ265" s="47"/>
      <c r="BG265" s="43"/>
      <c r="BI265" s="43"/>
      <c r="BJ265" s="43"/>
      <c r="BK265" s="43"/>
      <c r="BL265" s="43"/>
      <c r="BM265" s="43"/>
      <c r="BO265" s="43"/>
      <c r="BR265" s="43"/>
      <c r="BS265" s="43"/>
      <c r="BW265" s="43"/>
      <c r="CC265" s="43"/>
      <c r="CE265" s="43"/>
      <c r="CF265" s="43"/>
      <c r="CH265" s="43"/>
      <c r="CK265" s="43"/>
    </row>
    <row r="266" spans="2:89" x14ac:dyDescent="0.25">
      <c r="B266" s="89"/>
      <c r="C266" s="123"/>
      <c r="D266" s="47"/>
      <c r="E266" s="40"/>
      <c r="F266" s="43"/>
      <c r="G266" s="43"/>
      <c r="H266" s="41"/>
      <c r="I266" s="42"/>
      <c r="J266" s="42"/>
      <c r="K266" s="84"/>
      <c r="L266" s="45"/>
      <c r="M266" s="43"/>
      <c r="N266" s="42"/>
      <c r="O266" s="42"/>
      <c r="P266" s="229"/>
      <c r="Q266" s="42"/>
      <c r="R266" s="42"/>
      <c r="S266" s="42"/>
      <c r="T266" s="42"/>
      <c r="U266" s="67"/>
      <c r="V266" s="234"/>
      <c r="W266" s="48"/>
      <c r="X266" s="49"/>
      <c r="Y266" s="43"/>
      <c r="Z266" s="49"/>
      <c r="AA266" s="43"/>
      <c r="AB266" s="43"/>
      <c r="AC266" s="49"/>
      <c r="AE266" s="43"/>
      <c r="AF266" s="69"/>
      <c r="AI266" s="46"/>
      <c r="AJ266" s="138"/>
      <c r="AK266" s="138"/>
      <c r="AL266" s="138"/>
      <c r="AM266" s="42"/>
      <c r="AO266" s="42"/>
      <c r="AQ266" s="43"/>
      <c r="AR266" s="43"/>
      <c r="AS266" s="44"/>
      <c r="AT266" s="152"/>
      <c r="AU266" s="44"/>
      <c r="AW266" s="42"/>
      <c r="AX266" s="42"/>
      <c r="AY266" s="45"/>
      <c r="AZ266" s="47"/>
      <c r="BG266" s="43"/>
      <c r="BI266" s="43"/>
      <c r="BJ266" s="43"/>
      <c r="BK266" s="43"/>
      <c r="BL266" s="43"/>
      <c r="BM266" s="43"/>
      <c r="BO266" s="43"/>
      <c r="BR266" s="43"/>
      <c r="BS266" s="43"/>
      <c r="BW266" s="43"/>
      <c r="CC266" s="43"/>
      <c r="CE266" s="43"/>
      <c r="CF266" s="43"/>
      <c r="CH266" s="43"/>
      <c r="CK266" s="43"/>
    </row>
    <row r="267" spans="2:89" x14ac:dyDescent="0.25">
      <c r="B267" s="89"/>
      <c r="C267" s="123"/>
      <c r="D267" s="47"/>
      <c r="E267" s="40"/>
      <c r="F267" s="43"/>
      <c r="G267" s="43"/>
      <c r="H267" s="41"/>
      <c r="I267" s="42"/>
      <c r="J267" s="42"/>
      <c r="K267" s="84"/>
      <c r="L267" s="45"/>
      <c r="M267" s="43"/>
      <c r="N267" s="42"/>
      <c r="O267" s="42"/>
      <c r="P267" s="229"/>
      <c r="Q267" s="42"/>
      <c r="R267" s="42"/>
      <c r="S267" s="42"/>
      <c r="T267" s="42"/>
      <c r="U267" s="67"/>
      <c r="V267" s="234"/>
      <c r="W267" s="48"/>
      <c r="X267" s="49"/>
      <c r="Y267" s="43"/>
      <c r="Z267" s="49"/>
      <c r="AA267" s="43"/>
      <c r="AB267" s="43"/>
      <c r="AC267" s="49"/>
      <c r="AE267" s="43"/>
      <c r="AF267" s="69"/>
      <c r="AI267" s="46"/>
      <c r="AJ267" s="138"/>
      <c r="AK267" s="138"/>
      <c r="AL267" s="138"/>
      <c r="AM267" s="42"/>
      <c r="AO267" s="42"/>
      <c r="AQ267" s="43"/>
      <c r="AR267" s="43"/>
      <c r="AS267" s="44"/>
      <c r="AT267" s="44"/>
      <c r="AU267" s="44"/>
      <c r="AW267" s="42"/>
      <c r="AX267" s="42"/>
      <c r="AY267" s="45"/>
      <c r="AZ267" s="47"/>
      <c r="BG267" s="43"/>
      <c r="BI267" s="43"/>
      <c r="BJ267" s="43"/>
      <c r="BK267" s="43"/>
      <c r="BL267" s="43"/>
      <c r="BM267" s="43"/>
      <c r="BO267" s="43"/>
      <c r="BR267" s="43"/>
      <c r="BS267" s="43"/>
      <c r="BW267" s="43"/>
      <c r="CC267" s="43"/>
      <c r="CE267" s="43"/>
      <c r="CF267" s="43"/>
      <c r="CH267" s="43"/>
      <c r="CK267" s="43"/>
    </row>
    <row r="268" spans="2:89" x14ac:dyDescent="0.25">
      <c r="B268" s="89"/>
      <c r="C268" s="123"/>
      <c r="D268" s="47"/>
      <c r="E268" s="40"/>
      <c r="F268" s="43"/>
      <c r="G268" s="43"/>
      <c r="H268" s="41"/>
      <c r="I268" s="42"/>
      <c r="J268" s="42"/>
      <c r="K268" s="84"/>
      <c r="L268" s="45"/>
      <c r="M268" s="43"/>
      <c r="N268" s="42"/>
      <c r="O268" s="42"/>
      <c r="P268" s="229"/>
      <c r="Q268" s="42"/>
      <c r="R268" s="42"/>
      <c r="S268" s="42"/>
      <c r="T268" s="42"/>
      <c r="U268" s="67"/>
      <c r="V268" s="234"/>
      <c r="W268" s="48"/>
      <c r="X268" s="49"/>
      <c r="Y268" s="43"/>
      <c r="Z268" s="49"/>
      <c r="AA268" s="43"/>
      <c r="AB268" s="43"/>
      <c r="AC268" s="49"/>
      <c r="AE268" s="43"/>
      <c r="AF268" s="69"/>
      <c r="AI268" s="46"/>
      <c r="AJ268" s="138"/>
      <c r="AK268" s="138"/>
      <c r="AL268" s="138"/>
      <c r="AM268" s="42"/>
      <c r="AO268" s="42"/>
      <c r="AQ268" s="43"/>
      <c r="AR268" s="43"/>
      <c r="AS268" s="44"/>
      <c r="AT268" s="152"/>
      <c r="AU268" s="44"/>
      <c r="AW268" s="42"/>
      <c r="AX268" s="42"/>
      <c r="AY268" s="45"/>
      <c r="AZ268" s="47"/>
      <c r="BG268" s="43"/>
      <c r="BI268" s="43"/>
      <c r="BJ268" s="43"/>
      <c r="BK268" s="43"/>
      <c r="BL268" s="43"/>
      <c r="BM268" s="43"/>
      <c r="BO268" s="43"/>
      <c r="BR268" s="43"/>
      <c r="BS268" s="43"/>
      <c r="BW268" s="43"/>
      <c r="CC268" s="43"/>
      <c r="CE268" s="43"/>
      <c r="CF268" s="43"/>
      <c r="CH268" s="43"/>
      <c r="CK268" s="43"/>
    </row>
    <row r="269" spans="2:89" x14ac:dyDescent="0.25">
      <c r="B269" s="89"/>
      <c r="C269" s="123"/>
      <c r="D269" s="47"/>
      <c r="E269" s="40"/>
      <c r="F269" s="43"/>
      <c r="G269" s="43"/>
      <c r="H269" s="41"/>
      <c r="I269" s="42"/>
      <c r="J269" s="42"/>
      <c r="K269" s="84"/>
      <c r="L269" s="45"/>
      <c r="M269" s="43"/>
      <c r="N269" s="42"/>
      <c r="O269" s="42"/>
      <c r="P269" s="229"/>
      <c r="Q269" s="42"/>
      <c r="R269" s="42"/>
      <c r="S269" s="42"/>
      <c r="T269" s="42"/>
      <c r="U269" s="67"/>
      <c r="V269" s="234"/>
      <c r="W269" s="48"/>
      <c r="X269" s="49"/>
      <c r="Y269" s="43"/>
      <c r="Z269" s="49"/>
      <c r="AA269" s="43"/>
      <c r="AB269" s="43"/>
      <c r="AC269" s="49"/>
      <c r="AE269" s="43"/>
      <c r="AF269" s="69"/>
      <c r="AI269" s="46"/>
      <c r="AJ269" s="138"/>
      <c r="AK269" s="138"/>
      <c r="AL269" s="138"/>
      <c r="AM269" s="42"/>
      <c r="AO269" s="42"/>
      <c r="AQ269" s="43"/>
      <c r="AR269" s="43"/>
      <c r="AS269" s="44"/>
      <c r="AT269" s="44"/>
      <c r="AU269" s="44"/>
      <c r="AW269" s="42"/>
      <c r="AX269" s="42"/>
      <c r="AY269" s="45"/>
      <c r="AZ269" s="47"/>
      <c r="BG269" s="43"/>
      <c r="BI269" s="43"/>
      <c r="BJ269" s="43"/>
      <c r="BK269" s="43"/>
      <c r="BL269" s="43"/>
      <c r="BM269" s="43"/>
      <c r="BO269" s="43"/>
      <c r="BR269" s="43"/>
      <c r="BS269" s="43"/>
      <c r="BW269" s="43"/>
      <c r="CC269" s="43"/>
      <c r="CE269" s="43"/>
      <c r="CF269" s="43"/>
      <c r="CH269" s="43"/>
      <c r="CK269" s="43"/>
    </row>
    <row r="270" spans="2:89" x14ac:dyDescent="0.25">
      <c r="B270" s="89"/>
      <c r="C270" s="123"/>
      <c r="D270" s="47"/>
      <c r="E270" s="40"/>
      <c r="F270" s="43"/>
      <c r="G270" s="43"/>
      <c r="H270" s="41"/>
      <c r="I270" s="42"/>
      <c r="J270" s="42"/>
      <c r="K270" s="84"/>
      <c r="L270" s="45"/>
      <c r="M270" s="43"/>
      <c r="N270" s="42"/>
      <c r="O270" s="42"/>
      <c r="P270" s="229"/>
      <c r="Q270" s="42"/>
      <c r="R270" s="42"/>
      <c r="S270" s="42"/>
      <c r="T270" s="42"/>
      <c r="U270" s="67"/>
      <c r="V270" s="220"/>
      <c r="W270" s="48"/>
      <c r="X270" s="49"/>
      <c r="Y270" s="43"/>
      <c r="Z270" s="49"/>
      <c r="AA270" s="43"/>
      <c r="AB270" s="43"/>
      <c r="AC270" s="49"/>
      <c r="AE270" s="43"/>
      <c r="AF270" s="69"/>
      <c r="AI270" s="46"/>
      <c r="AJ270" s="138"/>
      <c r="AK270" s="138"/>
      <c r="AL270" s="138"/>
      <c r="AM270" s="42"/>
      <c r="AO270" s="42"/>
      <c r="AQ270" s="43"/>
      <c r="AR270" s="43"/>
      <c r="AS270" s="44"/>
      <c r="AT270" s="152"/>
      <c r="AU270" s="44"/>
      <c r="AW270" s="42"/>
      <c r="AX270" s="42"/>
      <c r="AY270" s="45"/>
      <c r="AZ270" s="47"/>
      <c r="BG270" s="43"/>
      <c r="BI270" s="43"/>
      <c r="BJ270" s="43"/>
      <c r="BK270" s="43"/>
      <c r="BL270" s="43"/>
      <c r="BM270" s="43"/>
      <c r="BO270" s="43"/>
      <c r="BR270" s="43"/>
      <c r="BS270" s="43"/>
      <c r="BW270" s="43"/>
      <c r="CC270" s="43"/>
      <c r="CE270" s="43"/>
      <c r="CF270" s="43"/>
      <c r="CH270" s="43"/>
      <c r="CK270" s="43"/>
    </row>
    <row r="271" spans="2:89" x14ac:dyDescent="0.25">
      <c r="B271" s="89"/>
      <c r="C271" s="123"/>
      <c r="D271" s="47"/>
      <c r="E271" s="40"/>
      <c r="F271" s="43"/>
      <c r="G271" s="43"/>
      <c r="H271" s="41"/>
      <c r="I271" s="42"/>
      <c r="J271" s="42"/>
      <c r="K271" s="84"/>
      <c r="L271" s="45"/>
      <c r="M271" s="43"/>
      <c r="N271" s="42"/>
      <c r="O271" s="42"/>
      <c r="P271" s="229"/>
      <c r="Q271" s="42"/>
      <c r="R271" s="42"/>
      <c r="S271" s="42"/>
      <c r="T271" s="42"/>
      <c r="U271" s="67"/>
      <c r="V271" s="220"/>
      <c r="W271" s="48"/>
      <c r="X271" s="49"/>
      <c r="Y271" s="43"/>
      <c r="Z271" s="49"/>
      <c r="AA271" s="43"/>
      <c r="AB271" s="43"/>
      <c r="AC271" s="49"/>
      <c r="AE271" s="43"/>
      <c r="AF271" s="69"/>
      <c r="AI271" s="46"/>
      <c r="AJ271" s="138"/>
      <c r="AK271" s="138"/>
      <c r="AL271" s="138"/>
      <c r="AM271" s="42"/>
      <c r="AO271" s="42"/>
      <c r="AQ271" s="43"/>
      <c r="AR271" s="43"/>
      <c r="AS271" s="44"/>
      <c r="AT271" s="44"/>
      <c r="AU271" s="44"/>
      <c r="AW271" s="42"/>
      <c r="AX271" s="42"/>
      <c r="AY271" s="45"/>
      <c r="AZ271" s="47"/>
      <c r="BG271" s="43"/>
      <c r="BI271" s="43"/>
      <c r="BJ271" s="43"/>
      <c r="BK271" s="43"/>
      <c r="BL271" s="43"/>
      <c r="BM271" s="43"/>
      <c r="BO271" s="43"/>
      <c r="BR271" s="43"/>
      <c r="BS271" s="43"/>
      <c r="BW271" s="43"/>
      <c r="CC271" s="43"/>
      <c r="CE271" s="43"/>
      <c r="CF271" s="43"/>
      <c r="CH271" s="43"/>
      <c r="CK271" s="43"/>
    </row>
    <row r="272" spans="2:89" x14ac:dyDescent="0.25">
      <c r="B272" s="89"/>
      <c r="C272" s="123"/>
      <c r="D272" s="47"/>
      <c r="E272" s="40"/>
      <c r="F272" s="43"/>
      <c r="G272" s="43"/>
      <c r="H272" s="41"/>
      <c r="I272" s="42"/>
      <c r="J272" s="42"/>
      <c r="K272" s="84"/>
      <c r="L272" s="45"/>
      <c r="M272" s="43"/>
      <c r="N272" s="42"/>
      <c r="O272" s="42"/>
      <c r="P272" s="229"/>
      <c r="Q272" s="42"/>
      <c r="R272" s="42"/>
      <c r="S272" s="42"/>
      <c r="T272" s="42"/>
      <c r="U272" s="67"/>
      <c r="V272" s="220"/>
      <c r="W272" s="48"/>
      <c r="X272" s="49"/>
      <c r="Y272" s="43"/>
      <c r="Z272" s="49"/>
      <c r="AA272" s="43"/>
      <c r="AB272" s="43"/>
      <c r="AC272" s="49"/>
      <c r="AE272" s="43"/>
      <c r="AF272" s="69"/>
      <c r="AI272" s="46"/>
      <c r="AJ272" s="138"/>
      <c r="AK272" s="138"/>
      <c r="AL272" s="138"/>
      <c r="AM272" s="42"/>
      <c r="AO272" s="42"/>
      <c r="AQ272" s="43"/>
      <c r="AR272" s="43"/>
      <c r="AS272" s="44"/>
      <c r="AT272" s="44"/>
      <c r="AU272" s="44"/>
      <c r="AW272" s="42"/>
      <c r="AX272" s="42"/>
      <c r="AY272" s="45"/>
      <c r="AZ272" s="47"/>
      <c r="BG272" s="43"/>
      <c r="BI272" s="43"/>
      <c r="BJ272" s="43"/>
      <c r="BK272" s="43"/>
      <c r="BL272" s="43"/>
      <c r="BM272" s="43"/>
      <c r="BO272" s="43"/>
      <c r="BR272" s="43"/>
      <c r="BS272" s="43"/>
      <c r="BW272" s="43"/>
      <c r="CC272" s="43"/>
      <c r="CE272" s="43"/>
      <c r="CF272" s="43"/>
      <c r="CH272" s="43"/>
      <c r="CK272" s="43"/>
    </row>
    <row r="273" spans="2:89" x14ac:dyDescent="0.25">
      <c r="B273" s="89"/>
      <c r="C273" s="123"/>
      <c r="D273" s="47"/>
      <c r="E273" s="40"/>
      <c r="F273" s="43"/>
      <c r="G273" s="43"/>
      <c r="H273" s="41"/>
      <c r="I273" s="42"/>
      <c r="J273" s="42"/>
      <c r="K273" s="84"/>
      <c r="L273" s="45"/>
      <c r="M273" s="43"/>
      <c r="N273" s="42"/>
      <c r="O273" s="42"/>
      <c r="P273" s="229"/>
      <c r="Q273" s="42"/>
      <c r="R273" s="42"/>
      <c r="S273" s="42"/>
      <c r="T273" s="42"/>
      <c r="U273" s="67"/>
      <c r="V273" s="220"/>
      <c r="W273" s="48"/>
      <c r="X273" s="49"/>
      <c r="Y273" s="43"/>
      <c r="Z273" s="49"/>
      <c r="AA273" s="43"/>
      <c r="AB273" s="43"/>
      <c r="AC273" s="49"/>
      <c r="AE273" s="43"/>
      <c r="AF273" s="69"/>
      <c r="AI273" s="46"/>
      <c r="AJ273" s="138"/>
      <c r="AK273" s="138"/>
      <c r="AL273" s="138"/>
      <c r="AM273" s="42"/>
      <c r="AO273" s="42"/>
      <c r="AQ273" s="43"/>
      <c r="AR273" s="43"/>
      <c r="AS273" s="44"/>
      <c r="AT273" s="152"/>
      <c r="AU273" s="44"/>
      <c r="AW273" s="42"/>
      <c r="AX273" s="42"/>
      <c r="AY273" s="45"/>
      <c r="AZ273" s="47"/>
      <c r="BG273" s="43"/>
      <c r="BI273" s="43"/>
      <c r="BJ273" s="43"/>
      <c r="BK273" s="43"/>
      <c r="BL273" s="43"/>
      <c r="BM273" s="43"/>
      <c r="BO273" s="43"/>
      <c r="BR273" s="43"/>
      <c r="BS273" s="43"/>
      <c r="BW273" s="43"/>
      <c r="CC273" s="43"/>
      <c r="CE273" s="43"/>
      <c r="CF273" s="43"/>
      <c r="CH273" s="43"/>
      <c r="CK273" s="43"/>
    </row>
    <row r="274" spans="2:89" x14ac:dyDescent="0.25">
      <c r="B274" s="89"/>
      <c r="C274" s="123"/>
      <c r="D274" s="47"/>
      <c r="E274" s="40"/>
      <c r="F274" s="43"/>
      <c r="G274" s="43"/>
      <c r="H274" s="41"/>
      <c r="I274" s="42"/>
      <c r="J274" s="42"/>
      <c r="K274" s="84"/>
      <c r="L274" s="45"/>
      <c r="M274" s="43"/>
      <c r="N274" s="42"/>
      <c r="O274" s="42"/>
      <c r="P274" s="42"/>
      <c r="Q274" s="42"/>
      <c r="R274" s="42"/>
      <c r="S274" s="42"/>
      <c r="T274" s="42"/>
      <c r="U274" s="67"/>
      <c r="V274" s="220"/>
      <c r="W274" s="48"/>
      <c r="X274" s="49"/>
      <c r="Y274" s="43"/>
      <c r="Z274" s="49"/>
      <c r="AA274" s="43"/>
      <c r="AB274" s="43"/>
      <c r="AC274" s="49"/>
      <c r="AE274" s="43"/>
      <c r="AF274" s="69"/>
      <c r="AI274" s="46"/>
      <c r="AJ274" s="138"/>
      <c r="AK274" s="138"/>
      <c r="AL274" s="138"/>
      <c r="AM274" s="42"/>
      <c r="AO274" s="42"/>
      <c r="AQ274" s="43"/>
      <c r="AR274" s="43"/>
      <c r="AS274" s="44"/>
      <c r="AT274" s="44"/>
      <c r="AU274" s="44"/>
      <c r="AW274" s="42"/>
      <c r="AX274" s="42"/>
      <c r="AY274" s="45"/>
      <c r="AZ274" s="47"/>
      <c r="BG274" s="43"/>
      <c r="BI274" s="43"/>
      <c r="BJ274" s="43"/>
      <c r="BK274" s="43"/>
      <c r="BL274" s="43"/>
      <c r="BM274" s="43"/>
      <c r="BO274" s="43"/>
      <c r="BR274" s="43"/>
      <c r="BS274" s="43"/>
      <c r="BW274" s="43"/>
      <c r="CC274" s="43"/>
      <c r="CE274" s="43"/>
      <c r="CF274" s="43"/>
      <c r="CH274" s="43"/>
      <c r="CK274" s="43"/>
    </row>
    <row r="275" spans="2:89" x14ac:dyDescent="0.25">
      <c r="B275" s="157"/>
      <c r="C275" s="124"/>
      <c r="D275" s="143"/>
      <c r="E275" s="40"/>
      <c r="F275" s="43"/>
      <c r="G275" s="43"/>
      <c r="H275" s="41"/>
      <c r="I275" s="42"/>
      <c r="J275" s="42"/>
      <c r="K275" s="84"/>
      <c r="L275" s="45"/>
      <c r="M275" s="45"/>
      <c r="N275" s="42"/>
      <c r="O275" s="42"/>
      <c r="P275" s="42"/>
      <c r="Q275" s="42"/>
      <c r="R275" s="42"/>
      <c r="S275" s="42"/>
      <c r="T275" s="42"/>
      <c r="U275" s="171"/>
      <c r="V275" s="221"/>
      <c r="W275" s="48"/>
      <c r="X275" s="49"/>
      <c r="Y275" s="43"/>
      <c r="Z275" s="49"/>
      <c r="AA275" s="43"/>
      <c r="AB275" s="43"/>
      <c r="AC275" s="49"/>
      <c r="AE275" s="43"/>
      <c r="AF275" s="69"/>
      <c r="AG275" s="69"/>
      <c r="AH275" s="69"/>
      <c r="AI275" s="46"/>
      <c r="AJ275" s="138"/>
      <c r="AK275" s="138"/>
      <c r="AL275" s="170"/>
      <c r="AM275" s="74"/>
      <c r="AN275" s="74"/>
      <c r="AO275" s="74"/>
      <c r="AP275" s="74"/>
      <c r="AQ275" s="81"/>
      <c r="AR275" s="81"/>
      <c r="AS275" s="82"/>
      <c r="AT275" s="82"/>
      <c r="AU275" s="44"/>
      <c r="AV275" s="81"/>
      <c r="AW275" s="74"/>
      <c r="AX275" s="74"/>
      <c r="AY275" s="74"/>
      <c r="AZ275" s="83"/>
      <c r="BG275" s="43"/>
      <c r="BI275" s="43"/>
      <c r="BJ275" s="43"/>
      <c r="BK275" s="43"/>
      <c r="BL275" s="43"/>
      <c r="BM275" s="43"/>
      <c r="BO275" s="43"/>
      <c r="BR275" s="43"/>
      <c r="BS275" s="43"/>
      <c r="BW275" s="43"/>
      <c r="CC275" s="43"/>
      <c r="CE275" s="43"/>
      <c r="CF275" s="43"/>
      <c r="CH275" s="43"/>
      <c r="CK275" s="43"/>
    </row>
    <row r="276" spans="2:89" ht="15.75" customHeight="1" x14ac:dyDescent="0.25">
      <c r="B276" s="89"/>
      <c r="C276" s="123"/>
      <c r="D276" s="47"/>
      <c r="E276" s="40"/>
      <c r="F276" s="43"/>
      <c r="G276" s="43"/>
      <c r="H276" s="41"/>
      <c r="I276" s="42"/>
      <c r="J276" s="42"/>
      <c r="K276" s="84"/>
      <c r="L276" s="45"/>
      <c r="M276" s="50"/>
      <c r="N276" s="42"/>
      <c r="O276" s="42"/>
      <c r="P276" s="229"/>
      <c r="Q276" s="42"/>
      <c r="R276" s="42"/>
      <c r="S276" s="42"/>
      <c r="T276" s="42"/>
      <c r="U276" s="67"/>
      <c r="V276" s="220"/>
      <c r="W276" s="48"/>
      <c r="X276" s="49"/>
      <c r="Y276" s="43"/>
      <c r="Z276" s="49"/>
      <c r="AA276" s="43"/>
      <c r="AB276" s="43"/>
      <c r="AC276" s="49"/>
      <c r="AE276" s="43"/>
      <c r="AF276" s="69"/>
      <c r="AI276" s="46"/>
      <c r="AJ276" s="138"/>
      <c r="AK276" s="138"/>
      <c r="AL276" s="138"/>
      <c r="AM276" s="42"/>
      <c r="AO276" s="42"/>
      <c r="AQ276" s="43"/>
      <c r="AR276" s="43"/>
      <c r="AS276" s="44"/>
      <c r="AT276" s="44"/>
      <c r="AU276" s="44"/>
      <c r="AW276" s="42"/>
      <c r="AX276" s="42"/>
      <c r="AY276" s="45"/>
      <c r="AZ276" s="47"/>
      <c r="BG276" s="43"/>
      <c r="BI276" s="43"/>
      <c r="BJ276" s="43"/>
      <c r="BK276" s="43"/>
      <c r="BL276" s="43"/>
      <c r="BM276" s="43"/>
      <c r="BO276" s="43"/>
      <c r="BR276" s="43"/>
      <c r="BS276" s="43"/>
      <c r="BW276" s="43"/>
      <c r="CC276" s="43"/>
      <c r="CE276" s="43"/>
      <c r="CF276" s="43"/>
      <c r="CH276" s="43"/>
      <c r="CK276" s="43"/>
    </row>
    <row r="277" spans="2:89" ht="15.75" customHeight="1" x14ac:dyDescent="0.25">
      <c r="B277" s="156"/>
      <c r="C277" s="123"/>
      <c r="D277" s="47"/>
      <c r="E277" s="40"/>
      <c r="F277" s="111"/>
      <c r="G277" s="111"/>
      <c r="H277" s="41"/>
      <c r="I277" s="75"/>
      <c r="J277" s="199"/>
      <c r="K277" s="84"/>
      <c r="L277" s="45"/>
      <c r="M277" s="50"/>
      <c r="N277" s="42"/>
      <c r="O277" s="42"/>
      <c r="P277" s="229"/>
      <c r="Q277" s="42"/>
      <c r="R277" s="42"/>
      <c r="S277" s="42"/>
      <c r="T277" s="42"/>
      <c r="U277" s="110"/>
      <c r="V277" s="220"/>
      <c r="W277" s="48"/>
      <c r="X277" s="49"/>
      <c r="Y277" s="43"/>
      <c r="Z277" s="49"/>
      <c r="AA277" s="43"/>
      <c r="AB277" s="43"/>
      <c r="AC277" s="49"/>
      <c r="AE277" s="43"/>
      <c r="AF277" s="69"/>
      <c r="AG277" s="69"/>
      <c r="AH277" s="150"/>
      <c r="AI277" s="46"/>
      <c r="AJ277" s="138"/>
      <c r="AK277" s="138"/>
      <c r="AL277" s="138"/>
      <c r="AM277" s="42"/>
      <c r="AO277" s="42"/>
      <c r="AQ277" s="43"/>
      <c r="AR277" s="43"/>
      <c r="AS277" s="44"/>
      <c r="AT277" s="44"/>
      <c r="AU277" s="44"/>
      <c r="AW277" s="42"/>
      <c r="AX277" s="42"/>
      <c r="AY277" s="45"/>
      <c r="AZ277" s="47"/>
      <c r="BG277" s="43"/>
      <c r="BI277" s="43"/>
      <c r="BJ277" s="43"/>
      <c r="BK277" s="43"/>
      <c r="BL277" s="43"/>
      <c r="BM277" s="43"/>
      <c r="BO277" s="43"/>
      <c r="BR277" s="43"/>
      <c r="BS277" s="43"/>
      <c r="BW277" s="43"/>
      <c r="CC277" s="43"/>
      <c r="CE277" s="43"/>
      <c r="CF277" s="43"/>
      <c r="CH277" s="43"/>
      <c r="CK277" s="43"/>
    </row>
    <row r="278" spans="2:89" ht="15.75" customHeight="1" x14ac:dyDescent="0.25">
      <c r="B278" s="89"/>
      <c r="C278" s="123"/>
      <c r="D278" s="47"/>
      <c r="E278" s="40"/>
      <c r="F278" s="43"/>
      <c r="G278" s="43"/>
      <c r="H278" s="41"/>
      <c r="I278" s="42"/>
      <c r="J278" s="42"/>
      <c r="K278" s="84"/>
      <c r="L278" s="45"/>
      <c r="M278" s="43"/>
      <c r="N278" s="42"/>
      <c r="O278" s="42"/>
      <c r="P278" s="229"/>
      <c r="Q278" s="42"/>
      <c r="R278" s="42"/>
      <c r="S278" s="42"/>
      <c r="T278" s="42"/>
      <c r="U278" s="67"/>
      <c r="V278" s="220"/>
      <c r="W278" s="48"/>
      <c r="X278" s="49"/>
      <c r="Y278" s="43"/>
      <c r="Z278" s="49"/>
      <c r="AA278" s="43"/>
      <c r="AB278" s="43"/>
      <c r="AC278" s="49"/>
      <c r="AE278" s="43"/>
      <c r="AF278" s="69"/>
      <c r="AI278" s="46"/>
      <c r="AJ278" s="138"/>
      <c r="AK278" s="138"/>
      <c r="AL278" s="138"/>
      <c r="AM278" s="42"/>
      <c r="AO278" s="42"/>
      <c r="AQ278" s="43"/>
      <c r="AR278" s="43"/>
      <c r="AS278" s="44"/>
      <c r="AT278" s="44"/>
      <c r="AU278" s="44"/>
      <c r="AW278" s="42"/>
      <c r="AX278" s="42"/>
      <c r="AY278" s="45"/>
      <c r="AZ278" s="47"/>
      <c r="BG278" s="43"/>
      <c r="BI278" s="43"/>
      <c r="BJ278" s="43"/>
      <c r="BK278" s="43"/>
      <c r="BL278" s="43"/>
      <c r="BM278" s="43"/>
      <c r="BO278" s="43"/>
      <c r="BR278" s="43"/>
      <c r="BS278" s="43"/>
      <c r="BW278" s="43"/>
      <c r="CC278" s="43"/>
      <c r="CE278" s="43"/>
      <c r="CF278" s="43"/>
      <c r="CH278" s="43"/>
      <c r="CK278" s="43"/>
    </row>
    <row r="279" spans="2:89" ht="15.75" customHeight="1" x14ac:dyDescent="0.25">
      <c r="B279" s="89"/>
      <c r="C279" s="123"/>
      <c r="D279" s="47"/>
      <c r="E279" s="40"/>
      <c r="F279" s="43"/>
      <c r="G279" s="43"/>
      <c r="H279" s="41"/>
      <c r="I279" s="42"/>
      <c r="J279" s="42"/>
      <c r="K279" s="84"/>
      <c r="L279" s="45"/>
      <c r="M279" s="43"/>
      <c r="N279" s="42"/>
      <c r="O279" s="42"/>
      <c r="P279" s="229"/>
      <c r="Q279" s="42"/>
      <c r="R279" s="42"/>
      <c r="S279" s="42"/>
      <c r="T279" s="42"/>
      <c r="U279" s="67"/>
      <c r="V279" s="220"/>
      <c r="W279" s="48"/>
      <c r="X279" s="49"/>
      <c r="Y279" s="43"/>
      <c r="Z279" s="49"/>
      <c r="AA279" s="43"/>
      <c r="AB279" s="43"/>
      <c r="AC279" s="49"/>
      <c r="AE279" s="43"/>
      <c r="AF279" s="69"/>
      <c r="AI279" s="46"/>
      <c r="AJ279" s="138"/>
      <c r="AK279" s="138"/>
      <c r="AL279" s="138"/>
      <c r="AM279" s="42"/>
      <c r="AO279" s="42"/>
      <c r="AQ279" s="43"/>
      <c r="AR279" s="43"/>
      <c r="AS279" s="44"/>
      <c r="AT279" s="44"/>
      <c r="AU279" s="44"/>
      <c r="AW279" s="42"/>
      <c r="AX279" s="42"/>
      <c r="AY279" s="45"/>
      <c r="AZ279" s="47"/>
      <c r="BG279" s="43"/>
      <c r="BI279" s="43"/>
      <c r="BJ279" s="43"/>
      <c r="BK279" s="43"/>
      <c r="BL279" s="43"/>
      <c r="BM279" s="43"/>
      <c r="BO279" s="43"/>
      <c r="BR279" s="43"/>
      <c r="BS279" s="43"/>
      <c r="BW279" s="43"/>
      <c r="CC279" s="43"/>
      <c r="CE279" s="43"/>
      <c r="CF279" s="43"/>
      <c r="CH279" s="43"/>
      <c r="CK279" s="43"/>
    </row>
    <row r="280" spans="2:89" ht="15.75" customHeight="1" x14ac:dyDescent="0.25">
      <c r="B280" s="89"/>
      <c r="C280" s="123"/>
      <c r="D280" s="47"/>
      <c r="E280" s="40"/>
      <c r="F280" s="43"/>
      <c r="G280" s="43"/>
      <c r="H280" s="41"/>
      <c r="I280" s="42"/>
      <c r="J280" s="42"/>
      <c r="K280" s="84"/>
      <c r="L280" s="45"/>
      <c r="M280" s="43"/>
      <c r="N280" s="42"/>
      <c r="O280" s="42"/>
      <c r="P280" s="42"/>
      <c r="Q280" s="42"/>
      <c r="R280" s="42"/>
      <c r="S280" s="42"/>
      <c r="T280" s="42"/>
      <c r="U280" s="67"/>
      <c r="V280" s="220"/>
      <c r="W280" s="48"/>
      <c r="X280" s="49"/>
      <c r="Y280" s="43"/>
      <c r="Z280" s="49"/>
      <c r="AA280" s="43"/>
      <c r="AB280" s="43"/>
      <c r="AC280" s="49"/>
      <c r="AE280" s="43"/>
      <c r="AF280" s="69"/>
      <c r="AI280" s="46"/>
      <c r="AJ280" s="138"/>
      <c r="AK280" s="138"/>
      <c r="AL280" s="138"/>
      <c r="AM280" s="42"/>
      <c r="AO280" s="42"/>
      <c r="AQ280" s="43"/>
      <c r="AR280" s="43"/>
      <c r="AS280" s="44"/>
      <c r="AT280" s="152"/>
      <c r="AU280" s="44"/>
      <c r="AW280" s="42"/>
      <c r="AX280" s="42"/>
      <c r="AY280" s="45"/>
      <c r="AZ280" s="47"/>
      <c r="BG280" s="43"/>
      <c r="BI280" s="43"/>
      <c r="BJ280" s="43"/>
      <c r="BK280" s="43"/>
      <c r="BL280" s="43"/>
      <c r="BM280" s="43"/>
      <c r="BO280" s="43"/>
      <c r="BR280" s="43"/>
      <c r="BS280" s="43"/>
      <c r="BW280" s="43"/>
      <c r="CC280" s="43"/>
      <c r="CE280" s="43"/>
      <c r="CF280" s="43"/>
      <c r="CH280" s="43"/>
      <c r="CK280" s="43"/>
    </row>
    <row r="281" spans="2:89" ht="15.75" customHeight="1" x14ac:dyDescent="0.25">
      <c r="B281" s="89"/>
      <c r="C281" s="123"/>
      <c r="D281" s="47"/>
      <c r="E281" s="40"/>
      <c r="F281" s="43"/>
      <c r="G281" s="43"/>
      <c r="H281" s="41"/>
      <c r="I281" s="42"/>
      <c r="J281" s="42"/>
      <c r="K281" s="84"/>
      <c r="L281" s="45"/>
      <c r="M281" s="43"/>
      <c r="N281" s="42"/>
      <c r="O281" s="42"/>
      <c r="P281" s="42"/>
      <c r="Q281" s="42"/>
      <c r="R281" s="42"/>
      <c r="S281" s="42"/>
      <c r="T281" s="42"/>
      <c r="U281" s="67"/>
      <c r="V281" s="222"/>
      <c r="W281" s="48"/>
      <c r="X281" s="49"/>
      <c r="Y281" s="43"/>
      <c r="Z281" s="49"/>
      <c r="AA281" s="43"/>
      <c r="AB281" s="43"/>
      <c r="AC281" s="49"/>
      <c r="AE281" s="43"/>
      <c r="AF281" s="69"/>
      <c r="AI281" s="46"/>
      <c r="AJ281" s="138"/>
      <c r="AK281" s="138"/>
      <c r="AL281" s="138"/>
      <c r="AM281" s="42"/>
      <c r="AO281" s="42"/>
      <c r="AQ281" s="43"/>
      <c r="AR281" s="43"/>
      <c r="AS281" s="44"/>
      <c r="AT281" s="44"/>
      <c r="AU281" s="44"/>
      <c r="AW281" s="42"/>
      <c r="AX281" s="42"/>
      <c r="AY281" s="45"/>
      <c r="AZ281" s="47"/>
      <c r="BG281" s="43"/>
      <c r="BI281" s="43"/>
      <c r="BJ281" s="43"/>
      <c r="BK281" s="43"/>
      <c r="BL281" s="43"/>
      <c r="BM281" s="43"/>
      <c r="BO281" s="43"/>
      <c r="BR281" s="43"/>
      <c r="BS281" s="43"/>
      <c r="BW281" s="43"/>
      <c r="CC281" s="43"/>
      <c r="CE281" s="43"/>
      <c r="CF281" s="43"/>
      <c r="CH281" s="43"/>
      <c r="CK281" s="43"/>
    </row>
    <row r="282" spans="2:89" ht="15.75" customHeight="1" x14ac:dyDescent="0.25">
      <c r="B282" s="89"/>
      <c r="C282" s="123"/>
      <c r="D282" s="47"/>
      <c r="E282" s="40"/>
      <c r="F282" s="43"/>
      <c r="G282" s="43"/>
      <c r="H282" s="41"/>
      <c r="I282" s="42"/>
      <c r="J282" s="42"/>
      <c r="K282" s="84"/>
      <c r="L282" s="45"/>
      <c r="M282" s="43"/>
      <c r="N282" s="42"/>
      <c r="O282" s="42"/>
      <c r="P282" s="229"/>
      <c r="Q282" s="42"/>
      <c r="R282" s="42"/>
      <c r="S282" s="42"/>
      <c r="T282" s="42"/>
      <c r="U282" s="67"/>
      <c r="V282" s="220"/>
      <c r="W282" s="48"/>
      <c r="X282" s="49"/>
      <c r="Y282" s="43"/>
      <c r="Z282" s="49"/>
      <c r="AA282" s="43"/>
      <c r="AB282" s="43"/>
      <c r="AC282" s="49"/>
      <c r="AE282" s="43"/>
      <c r="AF282" s="69"/>
      <c r="AI282" s="46"/>
      <c r="AJ282" s="138"/>
      <c r="AK282" s="138"/>
      <c r="AL282" s="138"/>
      <c r="AM282" s="42"/>
      <c r="AO282" s="42"/>
      <c r="AQ282" s="43"/>
      <c r="AR282" s="43"/>
      <c r="AS282" s="44"/>
      <c r="AT282" s="152"/>
      <c r="AU282" s="44"/>
      <c r="AW282" s="42"/>
      <c r="AX282" s="42"/>
      <c r="AY282" s="45"/>
      <c r="AZ282" s="47"/>
      <c r="BG282" s="43"/>
      <c r="BI282" s="43"/>
      <c r="BJ282" s="43"/>
      <c r="BK282" s="43"/>
      <c r="BL282" s="43"/>
      <c r="BM282" s="43"/>
      <c r="BO282" s="43"/>
      <c r="BR282" s="43"/>
      <c r="BS282" s="43"/>
      <c r="BW282" s="43"/>
      <c r="CC282" s="43"/>
      <c r="CE282" s="43"/>
      <c r="CF282" s="43"/>
      <c r="CH282" s="43"/>
      <c r="CK282" s="43"/>
    </row>
    <row r="283" spans="2:89" ht="15.75" customHeight="1" x14ac:dyDescent="0.25">
      <c r="B283" s="89"/>
      <c r="C283" s="123"/>
      <c r="D283" s="47"/>
      <c r="E283" s="40"/>
      <c r="F283" s="43"/>
      <c r="G283" s="43"/>
      <c r="H283" s="41"/>
      <c r="I283" s="42"/>
      <c r="J283" s="199"/>
      <c r="K283" s="84"/>
      <c r="L283" s="45"/>
      <c r="M283" s="50"/>
      <c r="N283" s="42"/>
      <c r="O283" s="42"/>
      <c r="P283" s="229"/>
      <c r="Q283" s="42"/>
      <c r="R283" s="42"/>
      <c r="S283" s="42"/>
      <c r="T283" s="42"/>
      <c r="U283" s="67"/>
      <c r="V283" s="220"/>
      <c r="W283" s="48"/>
      <c r="X283" s="49"/>
      <c r="Y283" s="43"/>
      <c r="Z283" s="49"/>
      <c r="AA283" s="43"/>
      <c r="AB283" s="43"/>
      <c r="AC283" s="49"/>
      <c r="AE283" s="43"/>
      <c r="AF283" s="69"/>
      <c r="AH283" s="151"/>
      <c r="AI283" s="46"/>
      <c r="AJ283" s="138"/>
      <c r="AK283" s="138"/>
      <c r="AL283" s="138"/>
      <c r="AM283" s="42"/>
      <c r="AO283" s="42"/>
      <c r="AQ283" s="43"/>
      <c r="AR283" s="43"/>
      <c r="AS283" s="44"/>
      <c r="AT283" s="152"/>
      <c r="AU283" s="44"/>
      <c r="AW283" s="42"/>
      <c r="AX283" s="42"/>
      <c r="AY283" s="45"/>
      <c r="AZ283" s="47"/>
      <c r="BG283" s="43"/>
      <c r="BI283" s="43"/>
      <c r="BJ283" s="43"/>
      <c r="BK283" s="43"/>
      <c r="BL283" s="43"/>
      <c r="BM283" s="43"/>
      <c r="BO283" s="43"/>
      <c r="BR283" s="43"/>
      <c r="BS283" s="43"/>
      <c r="BW283" s="43"/>
      <c r="CC283" s="43"/>
      <c r="CE283" s="43"/>
      <c r="CF283" s="43"/>
      <c r="CH283" s="43"/>
      <c r="CK283" s="43"/>
    </row>
    <row r="284" spans="2:89" ht="15.75" customHeight="1" x14ac:dyDescent="0.25">
      <c r="B284" s="89"/>
      <c r="C284" s="125"/>
      <c r="D284" s="47"/>
      <c r="E284" s="40"/>
      <c r="F284" s="76"/>
      <c r="G284" s="43"/>
      <c r="H284" s="41"/>
      <c r="I284" s="75"/>
      <c r="J284" s="207"/>
      <c r="K284" s="85"/>
      <c r="L284" s="45"/>
      <c r="M284" s="50"/>
      <c r="N284" s="42"/>
      <c r="O284" s="42"/>
      <c r="P284" s="42"/>
      <c r="Q284" s="42"/>
      <c r="R284" s="42"/>
      <c r="S284" s="42"/>
      <c r="T284" s="42"/>
      <c r="U284" s="67"/>
      <c r="V284" s="220"/>
      <c r="W284" s="48"/>
      <c r="X284" s="49"/>
      <c r="Y284" s="43"/>
      <c r="Z284" s="49"/>
      <c r="AA284" s="43"/>
      <c r="AB284" s="43"/>
      <c r="AC284" s="49"/>
      <c r="AE284" s="43"/>
      <c r="AF284" s="69"/>
      <c r="AH284" s="150"/>
      <c r="AI284" s="46"/>
      <c r="AJ284" s="138"/>
      <c r="AK284" s="138"/>
      <c r="AL284" s="138"/>
      <c r="AM284" s="42"/>
      <c r="AO284" s="42"/>
      <c r="AQ284" s="43"/>
      <c r="AR284" s="43"/>
      <c r="AS284" s="44"/>
      <c r="AT284" s="152"/>
      <c r="AU284" s="44"/>
      <c r="AW284" s="42"/>
      <c r="AX284" s="42"/>
      <c r="AY284" s="45"/>
      <c r="AZ284" s="47"/>
      <c r="BG284" s="43"/>
      <c r="BI284" s="43"/>
      <c r="BJ284" s="43"/>
      <c r="BK284" s="43"/>
      <c r="BL284" s="43"/>
      <c r="BM284" s="43"/>
      <c r="BO284" s="43"/>
      <c r="BR284" s="43"/>
      <c r="BS284" s="43"/>
      <c r="BW284" s="43"/>
      <c r="CC284" s="43"/>
      <c r="CE284" s="43"/>
      <c r="CF284" s="43"/>
      <c r="CH284" s="43"/>
      <c r="CK284" s="43"/>
    </row>
    <row r="285" spans="2:89" ht="15.75" customHeight="1" x14ac:dyDescent="0.25">
      <c r="B285" s="89"/>
      <c r="C285" s="123"/>
      <c r="D285" s="47"/>
      <c r="E285" s="40"/>
      <c r="F285" s="43"/>
      <c r="G285" s="43"/>
      <c r="H285" s="41"/>
      <c r="I285" s="42"/>
      <c r="J285" s="42"/>
      <c r="K285" s="84"/>
      <c r="L285" s="45"/>
      <c r="M285" s="43"/>
      <c r="N285" s="42"/>
      <c r="O285" s="42"/>
      <c r="P285" s="229"/>
      <c r="Q285" s="42"/>
      <c r="R285" s="42"/>
      <c r="S285" s="42"/>
      <c r="T285" s="42"/>
      <c r="U285" s="67"/>
      <c r="V285" s="220"/>
      <c r="W285" s="48"/>
      <c r="X285" s="49"/>
      <c r="Y285" s="43"/>
      <c r="Z285" s="49"/>
      <c r="AA285" s="43"/>
      <c r="AB285" s="43"/>
      <c r="AC285" s="49"/>
      <c r="AE285" s="43"/>
      <c r="AF285" s="69"/>
      <c r="AI285" s="46"/>
      <c r="AJ285" s="138"/>
      <c r="AK285" s="138"/>
      <c r="AL285" s="138"/>
      <c r="AM285" s="42"/>
      <c r="AO285" s="42"/>
      <c r="AQ285" s="43"/>
      <c r="AR285" s="43"/>
      <c r="AS285" s="44"/>
      <c r="AT285" s="152"/>
      <c r="AU285" s="44"/>
      <c r="AW285" s="42"/>
      <c r="AX285" s="42"/>
      <c r="AY285" s="45"/>
      <c r="AZ285" s="47"/>
      <c r="BG285" s="43"/>
      <c r="BI285" s="43"/>
      <c r="BJ285" s="43"/>
      <c r="BK285" s="43"/>
      <c r="BL285" s="43"/>
      <c r="BM285" s="43"/>
      <c r="BO285" s="43"/>
      <c r="BR285" s="43"/>
      <c r="BS285" s="43"/>
      <c r="BW285" s="43"/>
      <c r="CC285" s="43"/>
      <c r="CE285" s="43"/>
      <c r="CF285" s="43"/>
      <c r="CH285" s="43"/>
      <c r="CK285" s="43"/>
    </row>
    <row r="286" spans="2:89" ht="15.75" customHeight="1" x14ac:dyDescent="0.25">
      <c r="B286" s="89"/>
      <c r="C286" s="123"/>
      <c r="D286" s="47"/>
      <c r="E286" s="40"/>
      <c r="F286" s="43"/>
      <c r="G286" s="43"/>
      <c r="H286" s="41"/>
      <c r="I286" s="42"/>
      <c r="J286" s="42"/>
      <c r="K286" s="84"/>
      <c r="L286" s="45"/>
      <c r="M286" s="43"/>
      <c r="N286" s="42"/>
      <c r="O286" s="42"/>
      <c r="P286" s="229"/>
      <c r="Q286" s="42"/>
      <c r="R286" s="42"/>
      <c r="S286" s="42"/>
      <c r="T286" s="42"/>
      <c r="U286" s="67"/>
      <c r="V286" s="220"/>
      <c r="W286" s="48"/>
      <c r="X286" s="49"/>
      <c r="Y286" s="43"/>
      <c r="Z286" s="49"/>
      <c r="AA286" s="43"/>
      <c r="AB286" s="43"/>
      <c r="AC286" s="49"/>
      <c r="AE286" s="43"/>
      <c r="AF286" s="69"/>
      <c r="AI286" s="46"/>
      <c r="AJ286" s="138"/>
      <c r="AK286" s="138"/>
      <c r="AL286" s="138"/>
      <c r="AM286" s="42"/>
      <c r="AO286" s="42"/>
      <c r="AQ286" s="43"/>
      <c r="AR286" s="43"/>
      <c r="AS286" s="44"/>
      <c r="AT286" s="44"/>
      <c r="AU286" s="44"/>
      <c r="AW286" s="42"/>
      <c r="AX286" s="42"/>
      <c r="AY286" s="45"/>
      <c r="AZ286" s="47"/>
      <c r="BG286" s="43"/>
      <c r="BI286" s="43"/>
      <c r="BJ286" s="43"/>
      <c r="BK286" s="43"/>
      <c r="BL286" s="43"/>
      <c r="BM286" s="43"/>
      <c r="BO286" s="43"/>
      <c r="BR286" s="43"/>
      <c r="BS286" s="43"/>
      <c r="BW286" s="43"/>
      <c r="CC286" s="43"/>
      <c r="CE286" s="43"/>
      <c r="CF286" s="43"/>
      <c r="CH286" s="43"/>
      <c r="CK286" s="43"/>
    </row>
    <row r="287" spans="2:89" ht="15.75" customHeight="1" x14ac:dyDescent="0.25">
      <c r="B287" s="89"/>
      <c r="C287" s="123"/>
      <c r="D287" s="47"/>
      <c r="E287" s="40"/>
      <c r="F287" s="43"/>
      <c r="G287" s="43"/>
      <c r="H287" s="41"/>
      <c r="I287" s="42"/>
      <c r="J287" s="42"/>
      <c r="K287" s="84"/>
      <c r="L287" s="45"/>
      <c r="M287" s="43"/>
      <c r="N287" s="42"/>
      <c r="O287" s="42"/>
      <c r="P287" s="229"/>
      <c r="Q287" s="42"/>
      <c r="R287" s="42"/>
      <c r="S287" s="42"/>
      <c r="T287" s="42"/>
      <c r="U287" s="67"/>
      <c r="V287" s="220"/>
      <c r="W287" s="48"/>
      <c r="X287" s="49"/>
      <c r="Y287" s="43"/>
      <c r="Z287" s="49"/>
      <c r="AA287" s="43"/>
      <c r="AB287" s="43"/>
      <c r="AC287" s="49"/>
      <c r="AE287" s="43"/>
      <c r="AF287" s="69"/>
      <c r="AI287" s="46"/>
      <c r="AJ287" s="138"/>
      <c r="AK287" s="138"/>
      <c r="AL287" s="138"/>
      <c r="AM287" s="42"/>
      <c r="AO287" s="42"/>
      <c r="AQ287" s="43"/>
      <c r="AR287" s="43"/>
      <c r="AS287" s="44"/>
      <c r="AT287" s="152"/>
      <c r="AU287" s="44"/>
      <c r="AW287" s="42"/>
      <c r="AX287" s="42"/>
      <c r="AY287" s="45"/>
      <c r="AZ287" s="47"/>
      <c r="BG287" s="43"/>
      <c r="BI287" s="43"/>
      <c r="BJ287" s="43"/>
      <c r="BK287" s="43"/>
      <c r="BL287" s="43"/>
      <c r="BM287" s="43"/>
      <c r="BO287" s="43"/>
      <c r="BR287" s="43"/>
      <c r="BS287" s="43"/>
      <c r="BW287" s="43"/>
      <c r="CC287" s="43"/>
      <c r="CE287" s="43"/>
      <c r="CF287" s="43"/>
      <c r="CH287" s="43"/>
      <c r="CK287" s="43"/>
    </row>
    <row r="288" spans="2:89" ht="15.75" customHeight="1" x14ac:dyDescent="0.25">
      <c r="B288" s="194"/>
      <c r="C288" s="123"/>
      <c r="D288" s="143"/>
      <c r="E288" s="40"/>
      <c r="F288" s="111"/>
      <c r="G288" s="111"/>
      <c r="H288" s="202"/>
      <c r="I288" s="204"/>
      <c r="J288" s="204"/>
      <c r="K288" s="195"/>
      <c r="L288" s="45"/>
      <c r="M288" s="206"/>
      <c r="N288" s="42"/>
      <c r="O288" s="42"/>
      <c r="P288" s="42"/>
      <c r="Q288" s="42"/>
      <c r="R288" s="42"/>
      <c r="S288" s="227"/>
      <c r="T288" s="42"/>
      <c r="U288" s="196"/>
      <c r="V288" s="221"/>
      <c r="W288" s="48"/>
      <c r="X288" s="49"/>
      <c r="Y288" s="43"/>
      <c r="Z288" s="49"/>
      <c r="AA288" s="43"/>
      <c r="AB288" s="43"/>
      <c r="AC288" s="49"/>
      <c r="AE288" s="43"/>
      <c r="AF288" s="69"/>
      <c r="AG288" s="69"/>
      <c r="AI288" s="46"/>
      <c r="AJ288" s="139"/>
      <c r="AK288" s="198"/>
      <c r="AL288" s="198"/>
      <c r="AM288" s="74"/>
      <c r="AN288" s="74"/>
      <c r="AO288" s="74"/>
      <c r="AP288" s="74"/>
      <c r="AQ288" s="81"/>
      <c r="AR288" s="81"/>
      <c r="AS288" s="44"/>
      <c r="AT288" s="82"/>
      <c r="AU288" s="44"/>
      <c r="AV288" s="81"/>
      <c r="AW288" s="74"/>
      <c r="AX288" s="74"/>
      <c r="AY288" s="74"/>
      <c r="AZ288" s="83"/>
      <c r="BG288" s="43"/>
      <c r="BI288" s="43"/>
      <c r="BJ288" s="43"/>
      <c r="BK288" s="43"/>
      <c r="BL288" s="43"/>
      <c r="BM288" s="43"/>
      <c r="BO288" s="43"/>
      <c r="BR288" s="43"/>
      <c r="BS288" s="43"/>
      <c r="BW288" s="43"/>
      <c r="CC288" s="43"/>
      <c r="CE288" s="43"/>
      <c r="CF288" s="43"/>
      <c r="CH288" s="43"/>
      <c r="CK288" s="43"/>
    </row>
    <row r="289" spans="2:89" ht="15.75" customHeight="1" x14ac:dyDescent="0.25">
      <c r="B289" s="89"/>
      <c r="C289" s="123"/>
      <c r="D289" s="47"/>
      <c r="E289" s="40"/>
      <c r="F289" s="43"/>
      <c r="G289" s="43"/>
      <c r="H289" s="41"/>
      <c r="I289" s="42"/>
      <c r="J289" s="42"/>
      <c r="K289" s="84"/>
      <c r="L289" s="45"/>
      <c r="M289" s="50"/>
      <c r="N289" s="42"/>
      <c r="O289" s="42"/>
      <c r="P289" s="42"/>
      <c r="Q289" s="42"/>
      <c r="R289" s="42"/>
      <c r="S289" s="42"/>
      <c r="T289" s="42"/>
      <c r="U289" s="67"/>
      <c r="V289" s="220"/>
      <c r="W289" s="48"/>
      <c r="X289" s="49"/>
      <c r="Y289" s="43"/>
      <c r="Z289" s="49"/>
      <c r="AA289" s="43"/>
      <c r="AB289" s="43"/>
      <c r="AC289" s="49"/>
      <c r="AE289" s="43"/>
      <c r="AF289" s="69"/>
      <c r="AI289" s="46"/>
      <c r="AJ289" s="138"/>
      <c r="AK289" s="138"/>
      <c r="AL289" s="138"/>
      <c r="AM289" s="42"/>
      <c r="AO289" s="42"/>
      <c r="AQ289" s="43"/>
      <c r="AR289" s="43"/>
      <c r="AS289" s="44"/>
      <c r="AT289" s="44"/>
      <c r="AU289" s="44"/>
      <c r="AW289" s="42"/>
      <c r="AX289" s="42"/>
      <c r="AY289" s="45"/>
      <c r="AZ289" s="47"/>
      <c r="BG289" s="43"/>
      <c r="BI289" s="43"/>
      <c r="BJ289" s="43"/>
      <c r="BK289" s="43"/>
      <c r="BL289" s="43"/>
      <c r="BM289" s="43"/>
      <c r="BO289" s="43"/>
      <c r="BR289" s="43"/>
      <c r="BS289" s="43"/>
      <c r="BW289" s="43"/>
      <c r="CC289" s="43"/>
      <c r="CE289" s="43"/>
      <c r="CF289" s="43"/>
      <c r="CH289" s="43"/>
      <c r="CK289" s="43"/>
    </row>
    <row r="290" spans="2:89" ht="15.75" customHeight="1" x14ac:dyDescent="0.25">
      <c r="B290" s="89"/>
      <c r="C290" s="123"/>
      <c r="D290" s="47"/>
      <c r="E290" s="40"/>
      <c r="F290" s="43"/>
      <c r="G290" s="43"/>
      <c r="H290" s="41"/>
      <c r="I290" s="42"/>
      <c r="J290" s="42"/>
      <c r="K290" s="84"/>
      <c r="L290" s="45"/>
      <c r="M290" s="43"/>
      <c r="N290" s="42"/>
      <c r="O290" s="42"/>
      <c r="P290" s="229"/>
      <c r="Q290" s="42"/>
      <c r="R290" s="42"/>
      <c r="S290" s="42"/>
      <c r="T290" s="42"/>
      <c r="U290" s="67"/>
      <c r="V290" s="220"/>
      <c r="W290" s="48"/>
      <c r="X290" s="49"/>
      <c r="Y290" s="43"/>
      <c r="Z290" s="49"/>
      <c r="AA290" s="43"/>
      <c r="AB290" s="43"/>
      <c r="AC290" s="49"/>
      <c r="AD290" s="128"/>
      <c r="AE290" s="128"/>
      <c r="AF290" s="69"/>
      <c r="AI290" s="46"/>
      <c r="AJ290" s="138"/>
      <c r="AK290" s="138"/>
      <c r="AL290" s="138"/>
      <c r="AM290" s="42"/>
      <c r="AO290" s="42"/>
      <c r="AQ290" s="43"/>
      <c r="AR290" s="43"/>
      <c r="AS290" s="44"/>
      <c r="AT290" s="152"/>
      <c r="AU290" s="44"/>
      <c r="AW290" s="42"/>
      <c r="AX290" s="42"/>
      <c r="AY290" s="45"/>
      <c r="AZ290" s="47"/>
      <c r="BG290" s="43"/>
      <c r="BI290" s="43"/>
      <c r="BJ290" s="43"/>
      <c r="BK290" s="43"/>
      <c r="BL290" s="43"/>
      <c r="BM290" s="43"/>
      <c r="BO290" s="43"/>
      <c r="BR290" s="43"/>
      <c r="BS290" s="43"/>
      <c r="BW290" s="43"/>
      <c r="CC290" s="43"/>
      <c r="CE290" s="43"/>
      <c r="CF290" s="43"/>
      <c r="CH290" s="43"/>
      <c r="CK290" s="43"/>
    </row>
    <row r="291" spans="2:89" ht="15.75" customHeight="1" x14ac:dyDescent="0.25">
      <c r="B291" s="89"/>
      <c r="C291" s="123"/>
      <c r="D291" s="47"/>
      <c r="E291" s="40"/>
      <c r="F291" s="43"/>
      <c r="G291" s="43"/>
      <c r="H291" s="41"/>
      <c r="I291" s="42"/>
      <c r="J291" s="42"/>
      <c r="K291" s="84"/>
      <c r="L291" s="45"/>
      <c r="M291" s="43"/>
      <c r="N291" s="42"/>
      <c r="O291" s="42"/>
      <c r="P291" s="223"/>
      <c r="Q291" s="42"/>
      <c r="R291" s="42"/>
      <c r="S291" s="42"/>
      <c r="T291" s="42"/>
      <c r="U291" s="67"/>
      <c r="V291" s="220"/>
      <c r="W291" s="48"/>
      <c r="X291" s="49"/>
      <c r="Y291" s="43"/>
      <c r="Z291" s="49"/>
      <c r="AA291" s="43"/>
      <c r="AB291" s="43"/>
      <c r="AC291" s="49"/>
      <c r="AE291" s="43"/>
      <c r="AF291" s="69"/>
      <c r="AI291" s="46"/>
      <c r="AJ291" s="138"/>
      <c r="AK291" s="138"/>
      <c r="AL291" s="138"/>
      <c r="AM291" s="42"/>
      <c r="AO291" s="42"/>
      <c r="AQ291" s="43"/>
      <c r="AR291" s="43"/>
      <c r="AS291" s="44"/>
      <c r="AT291" s="44"/>
      <c r="AU291" s="44"/>
      <c r="AW291" s="42"/>
      <c r="AX291" s="42"/>
      <c r="AY291" s="45"/>
      <c r="AZ291" s="47"/>
      <c r="BG291" s="43"/>
      <c r="BI291" s="43"/>
      <c r="BJ291" s="43"/>
      <c r="BK291" s="43"/>
      <c r="BL291" s="43"/>
      <c r="BM291" s="43"/>
      <c r="BO291" s="43"/>
      <c r="BR291" s="43"/>
      <c r="BS291" s="43"/>
      <c r="BW291" s="43"/>
      <c r="CC291" s="43"/>
      <c r="CE291" s="43"/>
      <c r="CF291" s="43"/>
      <c r="CH291" s="43"/>
      <c r="CK291" s="43"/>
    </row>
    <row r="292" spans="2:89" ht="15.75" customHeight="1" x14ac:dyDescent="0.25">
      <c r="B292" s="89"/>
      <c r="C292" s="123"/>
      <c r="D292" s="47"/>
      <c r="E292" s="40"/>
      <c r="F292" s="43"/>
      <c r="G292" s="43"/>
      <c r="H292" s="41"/>
      <c r="I292" s="42"/>
      <c r="J292" s="42"/>
      <c r="K292" s="84"/>
      <c r="L292" s="45"/>
      <c r="M292" s="43"/>
      <c r="N292" s="42"/>
      <c r="O292" s="42"/>
      <c r="P292" s="223"/>
      <c r="Q292" s="42"/>
      <c r="R292" s="42"/>
      <c r="S292" s="42"/>
      <c r="T292" s="42"/>
      <c r="U292" s="67"/>
      <c r="V292" s="220"/>
      <c r="W292" s="48"/>
      <c r="X292" s="49"/>
      <c r="Y292" s="43"/>
      <c r="Z292" s="49"/>
      <c r="AA292" s="43"/>
      <c r="AB292" s="43"/>
      <c r="AC292" s="49"/>
      <c r="AE292" s="43"/>
      <c r="AF292" s="69"/>
      <c r="AI292" s="46"/>
      <c r="AJ292" s="138"/>
      <c r="AK292" s="138"/>
      <c r="AL292" s="138"/>
      <c r="AM292" s="42"/>
      <c r="AO292" s="42"/>
      <c r="AQ292" s="43"/>
      <c r="AR292" s="43"/>
      <c r="AS292" s="44"/>
      <c r="AT292" s="152"/>
      <c r="AU292" s="44"/>
      <c r="AW292" s="42"/>
      <c r="AX292" s="42"/>
      <c r="AY292" s="45"/>
      <c r="AZ292" s="47"/>
      <c r="BG292" s="43"/>
      <c r="BI292" s="43"/>
      <c r="BJ292" s="43"/>
      <c r="BK292" s="43"/>
      <c r="BL292" s="43"/>
      <c r="BM292" s="43"/>
      <c r="BO292" s="43"/>
      <c r="BR292" s="43"/>
      <c r="BS292" s="43"/>
      <c r="BW292" s="43"/>
      <c r="CC292" s="43"/>
      <c r="CE292" s="43"/>
      <c r="CF292" s="43"/>
      <c r="CH292" s="43"/>
      <c r="CK292" s="43"/>
    </row>
    <row r="293" spans="2:89" ht="15.75" customHeight="1" x14ac:dyDescent="0.25">
      <c r="B293" s="89"/>
      <c r="C293" s="126"/>
      <c r="D293" s="47"/>
      <c r="E293" s="40"/>
      <c r="F293" s="43"/>
      <c r="G293" s="43"/>
      <c r="H293" s="41"/>
      <c r="I293" s="42"/>
      <c r="J293" s="42"/>
      <c r="K293" s="84"/>
      <c r="L293" s="45"/>
      <c r="M293" s="43"/>
      <c r="N293" s="42"/>
      <c r="O293" s="42"/>
      <c r="P293" s="223"/>
      <c r="Q293" s="42"/>
      <c r="R293" s="42"/>
      <c r="S293" s="42"/>
      <c r="T293" s="42"/>
      <c r="U293" s="67"/>
      <c r="V293" s="220"/>
      <c r="W293" s="48"/>
      <c r="X293" s="49"/>
      <c r="Y293" s="43"/>
      <c r="Z293" s="49"/>
      <c r="AA293" s="43"/>
      <c r="AB293" s="43"/>
      <c r="AC293" s="49"/>
      <c r="AE293" s="43"/>
      <c r="AF293" s="69"/>
      <c r="AI293" s="46"/>
      <c r="AJ293" s="138"/>
      <c r="AK293" s="138"/>
      <c r="AL293" s="138"/>
      <c r="AM293" s="42"/>
      <c r="AO293" s="42"/>
      <c r="AQ293" s="43"/>
      <c r="AR293" s="43"/>
      <c r="AS293" s="44"/>
      <c r="AT293" s="152"/>
      <c r="AU293" s="44"/>
      <c r="AW293" s="42"/>
      <c r="AX293" s="42"/>
      <c r="AY293" s="45"/>
      <c r="AZ293" s="47"/>
      <c r="BG293" s="43"/>
      <c r="BI293" s="43"/>
      <c r="BJ293" s="43"/>
      <c r="BK293" s="43"/>
      <c r="BL293" s="43"/>
      <c r="BM293" s="43"/>
      <c r="BO293" s="43"/>
      <c r="BR293" s="43"/>
      <c r="BS293" s="43"/>
      <c r="BW293" s="43"/>
      <c r="CC293" s="43"/>
      <c r="CE293" s="43"/>
      <c r="CF293" s="43"/>
      <c r="CH293" s="43"/>
      <c r="CK293" s="43"/>
    </row>
    <row r="294" spans="2:89" ht="15.75" customHeight="1" x14ac:dyDescent="0.25">
      <c r="B294" s="89"/>
      <c r="C294" s="127"/>
      <c r="D294" s="47"/>
      <c r="E294" s="40"/>
      <c r="F294" s="43"/>
      <c r="G294" s="43"/>
      <c r="H294" s="41"/>
      <c r="I294" s="42"/>
      <c r="J294" s="42"/>
      <c r="K294" s="84"/>
      <c r="L294" s="45"/>
      <c r="M294" s="43"/>
      <c r="N294" s="42"/>
      <c r="O294" s="42"/>
      <c r="P294" s="223"/>
      <c r="Q294" s="42"/>
      <c r="R294" s="42"/>
      <c r="S294" s="42"/>
      <c r="T294" s="42"/>
      <c r="U294" s="67"/>
      <c r="V294" s="220"/>
      <c r="W294" s="48"/>
      <c r="X294" s="49"/>
      <c r="Y294" s="43"/>
      <c r="Z294" s="49"/>
      <c r="AA294" s="43"/>
      <c r="AB294" s="43"/>
      <c r="AC294" s="49"/>
      <c r="AE294" s="43"/>
      <c r="AF294" s="69"/>
      <c r="AI294" s="46"/>
      <c r="AJ294" s="138"/>
      <c r="AK294" s="138"/>
      <c r="AL294" s="138"/>
      <c r="AM294" s="42"/>
      <c r="AO294" s="42"/>
      <c r="AQ294" s="43"/>
      <c r="AR294" s="43"/>
      <c r="AS294" s="44"/>
      <c r="AT294" s="44"/>
      <c r="AU294" s="44"/>
      <c r="AW294" s="42"/>
      <c r="AX294" s="42"/>
      <c r="AY294" s="45"/>
      <c r="AZ294" s="47"/>
      <c r="BG294" s="43"/>
      <c r="BI294" s="43"/>
      <c r="BJ294" s="43"/>
      <c r="BK294" s="43"/>
      <c r="BL294" s="43"/>
      <c r="BM294" s="43"/>
      <c r="BO294" s="43"/>
      <c r="BR294" s="43"/>
      <c r="BS294" s="43"/>
      <c r="BW294" s="43"/>
      <c r="CC294" s="43"/>
      <c r="CE294" s="43"/>
      <c r="CF294" s="43"/>
      <c r="CH294" s="43"/>
      <c r="CK294" s="43"/>
    </row>
    <row r="295" spans="2:89" ht="15.75" customHeight="1" x14ac:dyDescent="0.25">
      <c r="B295" s="89"/>
      <c r="C295" s="123"/>
      <c r="D295" s="47"/>
      <c r="E295" s="40"/>
      <c r="F295" s="43"/>
      <c r="G295" s="43"/>
      <c r="H295" s="41"/>
      <c r="I295" s="42"/>
      <c r="J295" s="42"/>
      <c r="K295" s="84"/>
      <c r="L295" s="45"/>
      <c r="M295" s="106"/>
      <c r="N295" s="42"/>
      <c r="O295" s="42"/>
      <c r="P295" s="229"/>
      <c r="Q295" s="42"/>
      <c r="R295" s="42"/>
      <c r="S295" s="42"/>
      <c r="T295" s="42"/>
      <c r="U295" s="67"/>
      <c r="V295" s="220"/>
      <c r="W295" s="48"/>
      <c r="X295" s="49"/>
      <c r="Y295" s="43"/>
      <c r="Z295" s="49"/>
      <c r="AA295" s="43"/>
      <c r="AB295" s="43"/>
      <c r="AC295" s="49"/>
      <c r="AE295" s="43"/>
      <c r="AF295" s="69"/>
      <c r="AI295" s="46"/>
      <c r="AJ295" s="138"/>
      <c r="AK295" s="138"/>
      <c r="AL295" s="138"/>
      <c r="AM295" s="42"/>
      <c r="AO295" s="42"/>
      <c r="AQ295" s="43"/>
      <c r="AR295" s="43"/>
      <c r="AS295" s="44"/>
      <c r="AT295" s="152"/>
      <c r="AU295" s="44"/>
      <c r="AW295" s="42"/>
      <c r="AX295" s="42"/>
      <c r="AY295" s="45"/>
      <c r="AZ295" s="47"/>
      <c r="BG295" s="43"/>
      <c r="BI295" s="43"/>
      <c r="BJ295" s="43"/>
      <c r="BK295" s="43"/>
      <c r="BL295" s="43"/>
      <c r="BM295" s="43"/>
      <c r="BO295" s="43"/>
      <c r="BR295" s="43"/>
      <c r="BS295" s="43"/>
      <c r="BW295" s="43"/>
      <c r="CC295" s="43"/>
      <c r="CE295" s="43"/>
      <c r="CF295" s="43"/>
      <c r="CH295" s="43"/>
      <c r="CK295" s="43"/>
    </row>
    <row r="296" spans="2:89" x14ac:dyDescent="0.25">
      <c r="B296" s="187"/>
      <c r="C296" s="125"/>
      <c r="D296" s="143"/>
      <c r="E296" s="188"/>
      <c r="F296" s="144"/>
      <c r="G296" s="144"/>
      <c r="H296" s="183"/>
      <c r="I296" s="204"/>
      <c r="J296" s="208"/>
      <c r="K296" s="84"/>
      <c r="L296" s="45"/>
      <c r="M296" s="206"/>
      <c r="N296" s="42"/>
      <c r="O296" s="42"/>
      <c r="P296" s="42"/>
      <c r="Q296" s="42"/>
      <c r="R296" s="42"/>
      <c r="S296" s="227"/>
      <c r="T296" s="42"/>
      <c r="U296" s="185"/>
      <c r="V296" s="222"/>
      <c r="W296" s="48"/>
      <c r="X296" s="49"/>
      <c r="Y296" s="43"/>
      <c r="Z296" s="49"/>
      <c r="AA296" s="43"/>
      <c r="AB296" s="43"/>
      <c r="AC296" s="49"/>
      <c r="AE296" s="43"/>
      <c r="AF296" s="69"/>
      <c r="AG296" s="69"/>
      <c r="AI296" s="46"/>
      <c r="AJ296" s="138"/>
      <c r="AK296" s="138"/>
      <c r="AL296" s="138"/>
      <c r="AM296" s="42"/>
      <c r="AO296" s="42"/>
      <c r="AQ296" s="43"/>
      <c r="AR296" s="43"/>
      <c r="AS296" s="44"/>
      <c r="AT296" s="44"/>
      <c r="AU296" s="44"/>
      <c r="AW296" s="42"/>
      <c r="AX296" s="42"/>
      <c r="AY296" s="45"/>
      <c r="AZ296" s="47"/>
      <c r="BG296" s="43"/>
      <c r="BI296" s="43"/>
      <c r="BJ296" s="43"/>
      <c r="BK296" s="43"/>
      <c r="BL296" s="43"/>
      <c r="BM296" s="43"/>
      <c r="BO296" s="43"/>
      <c r="BR296" s="43"/>
      <c r="BS296" s="43"/>
      <c r="BW296" s="43"/>
      <c r="CC296" s="43"/>
      <c r="CE296" s="43"/>
      <c r="CF296" s="43"/>
      <c r="CH296" s="43"/>
      <c r="CK296" s="43"/>
    </row>
    <row r="297" spans="2:89" x14ac:dyDescent="0.25">
      <c r="B297" s="187"/>
      <c r="C297" s="125"/>
      <c r="D297" s="143"/>
      <c r="E297" s="188"/>
      <c r="F297" s="111"/>
      <c r="G297" s="111"/>
      <c r="H297" s="183"/>
      <c r="I297" s="113"/>
      <c r="J297" s="209"/>
      <c r="K297" s="84"/>
      <c r="L297" s="45"/>
      <c r="M297" s="132"/>
      <c r="N297" s="42"/>
      <c r="O297" s="42"/>
      <c r="P297" s="42"/>
      <c r="Q297" s="42"/>
      <c r="R297" s="42"/>
      <c r="S297" s="227"/>
      <c r="T297" s="42"/>
      <c r="U297" s="185"/>
      <c r="V297" s="220"/>
      <c r="W297" s="48"/>
      <c r="X297" s="49"/>
      <c r="Y297" s="43"/>
      <c r="Z297" s="49"/>
      <c r="AA297" s="43"/>
      <c r="AB297" s="43"/>
      <c r="AC297" s="49"/>
      <c r="AE297" s="43"/>
      <c r="AF297" s="69"/>
      <c r="AG297" s="69"/>
      <c r="AI297" s="46"/>
      <c r="AJ297" s="138"/>
      <c r="AK297" s="138"/>
      <c r="AL297" s="138"/>
      <c r="AM297" s="42"/>
      <c r="AO297" s="42"/>
      <c r="AQ297" s="43"/>
      <c r="AR297" s="43"/>
      <c r="AS297" s="44"/>
      <c r="AT297" s="152"/>
      <c r="AU297" s="44"/>
      <c r="AW297" s="42"/>
      <c r="AX297" s="42"/>
      <c r="AY297" s="45"/>
      <c r="AZ297" s="47"/>
      <c r="BG297" s="43"/>
      <c r="BI297" s="43"/>
      <c r="BJ297" s="43"/>
      <c r="BK297" s="43"/>
      <c r="BL297" s="43"/>
      <c r="BM297" s="43"/>
      <c r="BO297" s="43"/>
      <c r="BR297" s="43"/>
      <c r="BS297" s="43"/>
      <c r="BW297" s="43"/>
      <c r="CC297" s="43"/>
      <c r="CE297" s="43"/>
      <c r="CF297" s="43"/>
      <c r="CH297" s="43"/>
      <c r="CK297" s="43"/>
    </row>
    <row r="298" spans="2:89" x14ac:dyDescent="0.25">
      <c r="B298" s="187"/>
      <c r="C298" s="125"/>
      <c r="D298" s="143"/>
      <c r="E298" s="188"/>
      <c r="F298" s="144"/>
      <c r="G298" s="144"/>
      <c r="H298" s="183"/>
      <c r="I298" s="205"/>
      <c r="J298" s="205"/>
      <c r="K298" s="84"/>
      <c r="L298" s="45"/>
      <c r="M298" s="206"/>
      <c r="N298" s="42"/>
      <c r="O298" s="42"/>
      <c r="P298" s="42"/>
      <c r="Q298" s="42"/>
      <c r="R298" s="42"/>
      <c r="S298" s="227"/>
      <c r="T298" s="42"/>
      <c r="U298" s="185"/>
      <c r="V298" s="220"/>
      <c r="W298" s="48"/>
      <c r="X298" s="49"/>
      <c r="Y298" s="43"/>
      <c r="Z298" s="49"/>
      <c r="AA298" s="43"/>
      <c r="AB298" s="43"/>
      <c r="AC298" s="49"/>
      <c r="AE298" s="43"/>
      <c r="AF298" s="69"/>
      <c r="AG298" s="69"/>
      <c r="AI298" s="46"/>
      <c r="AJ298" s="138"/>
      <c r="AK298" s="138"/>
      <c r="AL298" s="138"/>
      <c r="AM298" s="42"/>
      <c r="AO298" s="42"/>
      <c r="AQ298" s="43"/>
      <c r="AR298" s="43"/>
      <c r="AS298" s="44"/>
      <c r="AT298" s="44"/>
      <c r="AU298" s="44"/>
      <c r="AW298" s="42"/>
      <c r="AX298" s="42"/>
      <c r="AY298" s="45"/>
      <c r="AZ298" s="47"/>
      <c r="BG298" s="43"/>
      <c r="BI298" s="43"/>
      <c r="BJ298" s="43"/>
      <c r="BK298" s="43"/>
      <c r="BL298" s="43"/>
      <c r="BM298" s="43"/>
      <c r="BO298" s="43"/>
      <c r="BR298" s="43"/>
      <c r="BS298" s="43"/>
      <c r="BW298" s="43"/>
      <c r="CC298" s="43"/>
      <c r="CE298" s="43"/>
      <c r="CF298" s="43"/>
      <c r="CH298" s="43"/>
      <c r="CK298" s="43"/>
    </row>
    <row r="299" spans="2:89" x14ac:dyDescent="0.25">
      <c r="B299" s="89"/>
      <c r="C299" s="123"/>
      <c r="D299" s="47"/>
      <c r="E299" s="40"/>
      <c r="F299" s="43"/>
      <c r="G299" s="43"/>
      <c r="H299" s="41"/>
      <c r="I299" s="42"/>
      <c r="J299" s="42"/>
      <c r="K299" s="84"/>
      <c r="L299" s="45"/>
      <c r="M299" s="50"/>
      <c r="N299" s="42"/>
      <c r="O299" s="42"/>
      <c r="P299" s="42"/>
      <c r="Q299" s="42"/>
      <c r="R299" s="42"/>
      <c r="S299" s="42"/>
      <c r="T299" s="42"/>
      <c r="U299" s="67"/>
      <c r="V299" s="220"/>
      <c r="W299" s="48"/>
      <c r="X299" s="49"/>
      <c r="Y299" s="43"/>
      <c r="Z299" s="49"/>
      <c r="AA299" s="43"/>
      <c r="AB299" s="43"/>
      <c r="AC299" s="49"/>
      <c r="AE299" s="43"/>
      <c r="AF299" s="69"/>
      <c r="AI299" s="46"/>
      <c r="AJ299" s="138"/>
      <c r="AK299" s="138"/>
      <c r="AL299" s="138"/>
      <c r="AM299" s="42"/>
      <c r="AO299" s="42"/>
      <c r="AQ299" s="43"/>
      <c r="AR299" s="43"/>
      <c r="AS299" s="44"/>
      <c r="AT299" s="152"/>
      <c r="AU299" s="44"/>
      <c r="AW299" s="42"/>
      <c r="AX299" s="42"/>
      <c r="AY299" s="45"/>
      <c r="AZ299" s="47"/>
      <c r="BG299" s="43"/>
      <c r="BI299" s="43"/>
      <c r="BJ299" s="43"/>
      <c r="BK299" s="43"/>
      <c r="BL299" s="43"/>
      <c r="BM299" s="43"/>
      <c r="BO299" s="43"/>
      <c r="BR299" s="43"/>
      <c r="BS299" s="43"/>
      <c r="BW299" s="43"/>
      <c r="CC299" s="43"/>
      <c r="CE299" s="43"/>
      <c r="CF299" s="43"/>
      <c r="CH299" s="43"/>
      <c r="CK299" s="43"/>
    </row>
    <row r="300" spans="2:89" x14ac:dyDescent="0.25">
      <c r="B300" s="89"/>
      <c r="C300" s="123"/>
      <c r="D300" s="47"/>
      <c r="E300" s="40"/>
      <c r="F300" s="43"/>
      <c r="G300" s="43"/>
      <c r="H300" s="41"/>
      <c r="I300" s="205"/>
      <c r="J300" s="42"/>
      <c r="K300" s="84"/>
      <c r="L300" s="45"/>
      <c r="M300" s="43"/>
      <c r="N300" s="42"/>
      <c r="O300" s="42"/>
      <c r="P300" s="229"/>
      <c r="Q300" s="42"/>
      <c r="R300" s="42"/>
      <c r="S300" s="42"/>
      <c r="T300" s="42"/>
      <c r="U300" s="67"/>
      <c r="V300" s="220"/>
      <c r="W300" s="48"/>
      <c r="X300" s="49"/>
      <c r="Y300" s="43"/>
      <c r="Z300" s="49"/>
      <c r="AA300" s="43"/>
      <c r="AB300" s="43"/>
      <c r="AC300" s="49"/>
      <c r="AE300" s="43"/>
      <c r="AF300" s="69"/>
      <c r="AH300" s="150"/>
      <c r="AI300" s="46"/>
      <c r="AJ300" s="138"/>
      <c r="AK300" s="138"/>
      <c r="AL300" s="138"/>
      <c r="AM300" s="42"/>
      <c r="AO300" s="42"/>
      <c r="AQ300" s="43"/>
      <c r="AR300" s="43"/>
      <c r="AS300" s="44"/>
      <c r="AT300" s="44"/>
      <c r="AU300" s="44"/>
      <c r="AW300" s="42"/>
      <c r="AX300" s="42"/>
      <c r="AY300" s="45"/>
      <c r="AZ300" s="47"/>
      <c r="BG300" s="43"/>
      <c r="BI300" s="43"/>
      <c r="BJ300" s="43"/>
      <c r="BK300" s="43"/>
      <c r="BL300" s="43"/>
      <c r="BM300" s="43"/>
      <c r="BO300" s="43"/>
      <c r="BR300" s="43"/>
      <c r="BS300" s="43"/>
      <c r="BW300" s="43"/>
      <c r="CC300" s="43"/>
      <c r="CE300" s="43"/>
      <c r="CF300" s="43"/>
      <c r="CH300" s="43"/>
      <c r="CK300" s="43"/>
    </row>
    <row r="301" spans="2:89" x14ac:dyDescent="0.25">
      <c r="B301" s="89"/>
      <c r="C301" s="123"/>
      <c r="D301" s="47"/>
      <c r="E301" s="40"/>
      <c r="F301" s="43"/>
      <c r="G301" s="43"/>
      <c r="H301" s="41"/>
      <c r="I301" s="42"/>
      <c r="J301" s="199"/>
      <c r="K301" s="84"/>
      <c r="L301" s="45"/>
      <c r="M301" s="50"/>
      <c r="N301" s="42"/>
      <c r="O301" s="42"/>
      <c r="P301" s="42"/>
      <c r="Q301" s="42"/>
      <c r="R301" s="42"/>
      <c r="S301" s="42"/>
      <c r="T301" s="42"/>
      <c r="U301" s="110"/>
      <c r="V301" s="220"/>
      <c r="W301" s="48"/>
      <c r="X301" s="49"/>
      <c r="Y301" s="43"/>
      <c r="Z301" s="49"/>
      <c r="AA301" s="43"/>
      <c r="AB301" s="43"/>
      <c r="AC301" s="49"/>
      <c r="AE301" s="43"/>
      <c r="AF301" s="69"/>
      <c r="AG301" s="69"/>
      <c r="AH301" s="150"/>
      <c r="AI301" s="46"/>
      <c r="AJ301" s="139"/>
      <c r="AK301" s="138"/>
      <c r="AL301" s="181"/>
      <c r="AM301" s="74"/>
      <c r="AN301" s="74"/>
      <c r="AO301" s="74"/>
      <c r="AP301" s="74"/>
      <c r="AQ301" s="43"/>
      <c r="AR301" s="43"/>
      <c r="AS301" s="44"/>
      <c r="AT301" s="82"/>
      <c r="AU301" s="249"/>
      <c r="AV301" s="81"/>
      <c r="AW301" s="74"/>
      <c r="AX301" s="74"/>
      <c r="AY301" s="74"/>
      <c r="AZ301" s="83"/>
      <c r="BG301" s="43"/>
      <c r="BI301" s="43"/>
      <c r="BJ301" s="43"/>
      <c r="BK301" s="43"/>
      <c r="BL301" s="43"/>
      <c r="BM301" s="43"/>
      <c r="BO301" s="43"/>
      <c r="BR301" s="43"/>
      <c r="BS301" s="43"/>
      <c r="BW301" s="43"/>
      <c r="CC301" s="43"/>
      <c r="CE301" s="43"/>
      <c r="CF301" s="43"/>
      <c r="CH301" s="43"/>
      <c r="CK301" s="43"/>
    </row>
    <row r="302" spans="2:89" x14ac:dyDescent="0.25">
      <c r="B302" s="89"/>
      <c r="C302" s="123"/>
      <c r="D302" s="47"/>
      <c r="E302" s="40"/>
      <c r="F302" s="43"/>
      <c r="G302" s="43"/>
      <c r="H302" s="41"/>
      <c r="I302" s="42"/>
      <c r="J302" s="42"/>
      <c r="K302" s="84"/>
      <c r="L302" s="45"/>
      <c r="M302" s="43"/>
      <c r="N302" s="42"/>
      <c r="O302" s="42"/>
      <c r="P302" s="229"/>
      <c r="Q302" s="42"/>
      <c r="R302" s="42"/>
      <c r="S302" s="42"/>
      <c r="T302" s="42"/>
      <c r="U302" s="67"/>
      <c r="V302" s="220"/>
      <c r="W302" s="48"/>
      <c r="X302" s="49"/>
      <c r="Y302" s="43"/>
      <c r="Z302" s="49"/>
      <c r="AA302" s="43"/>
      <c r="AB302" s="43"/>
      <c r="AC302" s="49"/>
      <c r="AE302" s="43"/>
      <c r="AF302" s="69"/>
      <c r="AI302" s="46"/>
      <c r="AJ302" s="138"/>
      <c r="AK302" s="138"/>
      <c r="AL302" s="138"/>
      <c r="AM302" s="42"/>
      <c r="AO302" s="42"/>
      <c r="AQ302" s="43"/>
      <c r="AR302" s="43"/>
      <c r="AS302" s="44"/>
      <c r="AT302" s="44"/>
      <c r="AU302" s="44"/>
      <c r="AW302" s="42"/>
      <c r="AX302" s="42"/>
      <c r="AY302" s="45"/>
      <c r="AZ302" s="47"/>
      <c r="BG302" s="43"/>
      <c r="BI302" s="43"/>
      <c r="BJ302" s="43"/>
      <c r="BK302" s="43"/>
      <c r="BL302" s="43"/>
      <c r="BM302" s="43"/>
      <c r="BO302" s="43"/>
      <c r="BR302" s="43"/>
      <c r="BS302" s="43"/>
      <c r="BW302" s="43"/>
      <c r="CC302" s="43"/>
      <c r="CE302" s="43"/>
      <c r="CF302" s="43"/>
      <c r="CH302" s="43"/>
      <c r="CK302" s="43"/>
    </row>
    <row r="303" spans="2:89" ht="15.75" customHeight="1" x14ac:dyDescent="0.25">
      <c r="B303" s="194"/>
      <c r="C303" s="123"/>
      <c r="D303" s="47"/>
      <c r="E303" s="40"/>
      <c r="F303" s="111"/>
      <c r="G303" s="111"/>
      <c r="H303" s="41"/>
      <c r="I303" s="113"/>
      <c r="J303" s="113"/>
      <c r="K303" s="195"/>
      <c r="L303" s="45"/>
      <c r="M303" s="43"/>
      <c r="N303" s="42"/>
      <c r="O303" s="42"/>
      <c r="P303" s="223"/>
      <c r="Q303" s="42"/>
      <c r="R303" s="42"/>
      <c r="S303" s="227"/>
      <c r="T303" s="42"/>
      <c r="U303" s="196"/>
      <c r="V303" s="220"/>
      <c r="W303" s="48"/>
      <c r="X303" s="49"/>
      <c r="Y303" s="43"/>
      <c r="Z303" s="49"/>
      <c r="AA303" s="43"/>
      <c r="AB303" s="43"/>
      <c r="AC303" s="49"/>
      <c r="AE303" s="43"/>
      <c r="AF303" s="69"/>
      <c r="AG303" s="69"/>
      <c r="AI303" s="46"/>
      <c r="AJ303" s="139"/>
      <c r="AK303" s="198"/>
      <c r="AL303" s="198"/>
      <c r="AM303" s="74"/>
      <c r="AN303" s="74"/>
      <c r="AO303" s="74"/>
      <c r="AP303" s="74"/>
      <c r="AQ303" s="81"/>
      <c r="AR303" s="81"/>
      <c r="AS303" s="44"/>
      <c r="AT303" s="82"/>
      <c r="AU303" s="44"/>
      <c r="AV303" s="81"/>
      <c r="AW303" s="74"/>
      <c r="AX303" s="74"/>
      <c r="AY303" s="74"/>
      <c r="AZ303" s="83"/>
      <c r="BG303" s="43"/>
      <c r="BI303" s="43"/>
      <c r="BJ303" s="43"/>
      <c r="BK303" s="43"/>
      <c r="BL303" s="43"/>
      <c r="BM303" s="43"/>
      <c r="BO303" s="43"/>
      <c r="BR303" s="43"/>
      <c r="BS303" s="43"/>
      <c r="BW303" s="43"/>
      <c r="CC303" s="43"/>
      <c r="CE303" s="43"/>
      <c r="CF303" s="43"/>
      <c r="CH303" s="43"/>
      <c r="CK303" s="43"/>
    </row>
    <row r="304" spans="2:89" x14ac:dyDescent="0.25">
      <c r="B304" s="89"/>
      <c r="C304" s="123"/>
      <c r="D304" s="47"/>
      <c r="E304" s="40"/>
      <c r="F304" s="43"/>
      <c r="G304" s="43"/>
      <c r="H304" s="41"/>
      <c r="I304" s="42"/>
      <c r="J304" s="42"/>
      <c r="K304" s="84"/>
      <c r="L304" s="45"/>
      <c r="M304" s="43"/>
      <c r="N304" s="42"/>
      <c r="O304" s="42"/>
      <c r="P304" s="42"/>
      <c r="Q304" s="42"/>
      <c r="R304" s="42"/>
      <c r="S304" s="42"/>
      <c r="T304" s="42"/>
      <c r="U304" s="67"/>
      <c r="V304" s="220"/>
      <c r="W304" s="48"/>
      <c r="X304" s="49"/>
      <c r="Y304" s="43"/>
      <c r="Z304" s="49"/>
      <c r="AA304" s="43"/>
      <c r="AB304" s="43"/>
      <c r="AC304" s="49"/>
      <c r="AE304" s="43"/>
      <c r="AF304" s="69"/>
      <c r="AI304" s="46"/>
      <c r="AJ304" s="138"/>
      <c r="AK304" s="138"/>
      <c r="AL304" s="138"/>
      <c r="AM304" s="42"/>
      <c r="AO304" s="42"/>
      <c r="AQ304" s="43"/>
      <c r="AR304" s="43"/>
      <c r="AS304" s="44"/>
      <c r="AT304" s="152"/>
      <c r="AU304" s="44"/>
      <c r="AW304" s="42"/>
      <c r="AX304" s="42"/>
      <c r="AY304" s="45"/>
      <c r="AZ304" s="47"/>
      <c r="BG304" s="43"/>
      <c r="BI304" s="43"/>
      <c r="BJ304" s="43"/>
      <c r="BK304" s="43"/>
      <c r="BL304" s="43"/>
      <c r="BM304" s="43"/>
      <c r="BO304" s="43"/>
      <c r="BR304" s="43"/>
      <c r="BS304" s="43"/>
      <c r="BW304" s="43"/>
      <c r="CC304" s="43"/>
      <c r="CE304" s="43"/>
      <c r="CF304" s="43"/>
      <c r="CH304" s="43"/>
      <c r="CK304" s="43"/>
    </row>
    <row r="305" spans="2:89" x14ac:dyDescent="0.25">
      <c r="B305" s="89"/>
      <c r="C305" s="123"/>
      <c r="D305" s="47"/>
      <c r="E305" s="40"/>
      <c r="F305" s="43"/>
      <c r="G305" s="43"/>
      <c r="H305" s="41"/>
      <c r="I305" s="42"/>
      <c r="J305" s="42"/>
      <c r="K305" s="84"/>
      <c r="L305" s="45"/>
      <c r="M305" s="43"/>
      <c r="N305" s="42"/>
      <c r="O305" s="42"/>
      <c r="P305" s="229"/>
      <c r="Q305" s="42"/>
      <c r="R305" s="42"/>
      <c r="S305" s="42"/>
      <c r="T305" s="42"/>
      <c r="U305" s="67"/>
      <c r="V305" s="220"/>
      <c r="W305" s="48"/>
      <c r="X305" s="49"/>
      <c r="Y305" s="43"/>
      <c r="Z305" s="49"/>
      <c r="AA305" s="43"/>
      <c r="AB305" s="43"/>
      <c r="AC305" s="49"/>
      <c r="AE305" s="128"/>
      <c r="AF305" s="69"/>
      <c r="AI305" s="46"/>
      <c r="AJ305" s="138"/>
      <c r="AK305" s="138"/>
      <c r="AL305" s="138"/>
      <c r="AM305" s="42"/>
      <c r="AO305" s="42"/>
      <c r="AQ305" s="43"/>
      <c r="AR305" s="43"/>
      <c r="AS305" s="44"/>
      <c r="AT305" s="44"/>
      <c r="AU305" s="44"/>
      <c r="AW305" s="42"/>
      <c r="AX305" s="42"/>
      <c r="AY305" s="45"/>
      <c r="AZ305" s="47"/>
      <c r="BG305" s="43"/>
      <c r="BI305" s="43"/>
      <c r="BJ305" s="43"/>
      <c r="BK305" s="43"/>
      <c r="BL305" s="43"/>
      <c r="BM305" s="43"/>
      <c r="BO305" s="43"/>
      <c r="BR305" s="43"/>
      <c r="BS305" s="43"/>
      <c r="BW305" s="43"/>
      <c r="CC305" s="43"/>
      <c r="CE305" s="43"/>
      <c r="CF305" s="43"/>
      <c r="CH305" s="43"/>
      <c r="CK305" s="43"/>
    </row>
    <row r="306" spans="2:89" x14ac:dyDescent="0.25">
      <c r="B306" s="89"/>
      <c r="C306" s="123"/>
      <c r="D306" s="47"/>
      <c r="E306" s="40"/>
      <c r="F306" s="43"/>
      <c r="G306" s="43"/>
      <c r="H306" s="41"/>
      <c r="I306" s="42"/>
      <c r="J306" s="42"/>
      <c r="K306" s="84"/>
      <c r="L306" s="45"/>
      <c r="M306" s="43"/>
      <c r="N306" s="42"/>
      <c r="O306" s="42"/>
      <c r="P306" s="229"/>
      <c r="Q306" s="42"/>
      <c r="R306" s="42"/>
      <c r="S306" s="42"/>
      <c r="T306" s="42"/>
      <c r="U306" s="67"/>
      <c r="V306" s="220"/>
      <c r="W306" s="48"/>
      <c r="X306" s="49"/>
      <c r="Y306" s="43"/>
      <c r="Z306" s="49"/>
      <c r="AA306" s="43"/>
      <c r="AB306" s="43"/>
      <c r="AC306" s="49"/>
      <c r="AE306" s="43"/>
      <c r="AF306" s="69"/>
      <c r="AI306" s="46"/>
      <c r="AJ306" s="138"/>
      <c r="AK306" s="138"/>
      <c r="AL306" s="138"/>
      <c r="AM306" s="42"/>
      <c r="AO306" s="42"/>
      <c r="AQ306" s="43"/>
      <c r="AR306" s="43"/>
      <c r="AS306" s="44"/>
      <c r="AT306" s="152"/>
      <c r="AU306" s="44"/>
      <c r="AW306" s="42"/>
      <c r="AX306" s="42"/>
      <c r="AY306" s="45"/>
      <c r="AZ306" s="47"/>
      <c r="BG306" s="43"/>
      <c r="BI306" s="43"/>
      <c r="BJ306" s="43"/>
      <c r="BK306" s="43"/>
      <c r="BL306" s="43"/>
      <c r="BM306" s="43"/>
      <c r="BO306" s="43"/>
      <c r="BR306" s="43"/>
      <c r="BS306" s="43"/>
      <c r="BW306" s="43"/>
      <c r="CC306" s="43"/>
      <c r="CE306" s="43"/>
      <c r="CF306" s="43"/>
      <c r="CH306" s="43"/>
      <c r="CK306" s="43"/>
    </row>
    <row r="307" spans="2:89" x14ac:dyDescent="0.25">
      <c r="B307" s="89"/>
      <c r="C307" s="123"/>
      <c r="D307" s="47"/>
      <c r="E307" s="40"/>
      <c r="F307" s="43"/>
      <c r="G307" s="43"/>
      <c r="H307" s="41"/>
      <c r="I307" s="42"/>
      <c r="J307" s="42"/>
      <c r="K307" s="84"/>
      <c r="L307" s="45"/>
      <c r="M307" s="43"/>
      <c r="N307" s="42"/>
      <c r="O307" s="42"/>
      <c r="P307" s="223"/>
      <c r="Q307" s="42"/>
      <c r="R307" s="42"/>
      <c r="S307" s="42"/>
      <c r="T307" s="42"/>
      <c r="U307" s="67"/>
      <c r="V307" s="220"/>
      <c r="W307" s="48"/>
      <c r="X307" s="49"/>
      <c r="Y307" s="43"/>
      <c r="Z307" s="49"/>
      <c r="AA307" s="43"/>
      <c r="AB307" s="43"/>
      <c r="AC307" s="49"/>
      <c r="AE307" s="43"/>
      <c r="AF307" s="69"/>
      <c r="AI307" s="46"/>
      <c r="AJ307" s="138"/>
      <c r="AK307" s="138"/>
      <c r="AL307" s="138"/>
      <c r="AM307" s="42"/>
      <c r="AO307" s="42"/>
      <c r="AQ307" s="43"/>
      <c r="AR307" s="43"/>
      <c r="AS307" s="44"/>
      <c r="AT307" s="44"/>
      <c r="AU307" s="44"/>
      <c r="AW307" s="42"/>
      <c r="AX307" s="42"/>
      <c r="AY307" s="45"/>
      <c r="AZ307" s="47"/>
      <c r="BG307" s="43"/>
      <c r="BI307" s="43"/>
      <c r="BJ307" s="43"/>
      <c r="BK307" s="43"/>
      <c r="BL307" s="43"/>
      <c r="BM307" s="43"/>
      <c r="BO307" s="43"/>
      <c r="BR307" s="43"/>
      <c r="BS307" s="43"/>
      <c r="BW307" s="43"/>
      <c r="CC307" s="43"/>
      <c r="CE307" s="43"/>
      <c r="CF307" s="43"/>
      <c r="CH307" s="43"/>
      <c r="CK307" s="43"/>
    </row>
    <row r="308" spans="2:89" x14ac:dyDescent="0.25">
      <c r="B308" s="89"/>
      <c r="C308" s="123"/>
      <c r="D308" s="47"/>
      <c r="E308" s="40"/>
      <c r="F308" s="43"/>
      <c r="G308" s="43"/>
      <c r="H308" s="41"/>
      <c r="I308" s="205"/>
      <c r="J308" s="200"/>
      <c r="K308" s="84"/>
      <c r="L308" s="45"/>
      <c r="M308" s="43"/>
      <c r="N308" s="42"/>
      <c r="O308" s="42"/>
      <c r="P308" s="223"/>
      <c r="Q308" s="42"/>
      <c r="R308" s="42"/>
      <c r="S308" s="42"/>
      <c r="T308" s="42"/>
      <c r="U308" s="67"/>
      <c r="V308" s="220"/>
      <c r="W308" s="48"/>
      <c r="X308" s="49"/>
      <c r="Y308" s="43"/>
      <c r="Z308" s="49"/>
      <c r="AA308" s="43"/>
      <c r="AB308" s="43"/>
      <c r="AC308" s="49"/>
      <c r="AE308" s="128"/>
      <c r="AF308" s="69"/>
      <c r="AH308" s="150"/>
      <c r="AI308" s="46"/>
      <c r="AJ308" s="138"/>
      <c r="AK308" s="138"/>
      <c r="AL308" s="138"/>
      <c r="AM308" s="42"/>
      <c r="AO308" s="42"/>
      <c r="AQ308" s="43"/>
      <c r="AR308" s="43"/>
      <c r="AS308" s="44"/>
      <c r="AT308" s="152"/>
      <c r="AU308" s="44"/>
      <c r="AW308" s="42"/>
      <c r="AX308" s="42"/>
      <c r="AY308" s="45"/>
      <c r="AZ308" s="47"/>
      <c r="BG308" s="43"/>
      <c r="BI308" s="43"/>
      <c r="BJ308" s="43"/>
      <c r="BK308" s="43"/>
      <c r="BL308" s="43"/>
      <c r="BM308" s="43"/>
      <c r="BO308" s="43"/>
      <c r="BR308" s="43"/>
      <c r="BS308" s="43"/>
      <c r="BW308" s="43"/>
      <c r="CC308" s="43"/>
      <c r="CE308" s="43"/>
      <c r="CF308" s="43"/>
      <c r="CH308" s="43"/>
      <c r="CK308" s="43"/>
    </row>
    <row r="309" spans="2:89" ht="15.75" customHeight="1" x14ac:dyDescent="0.25">
      <c r="B309" s="158"/>
      <c r="C309" s="125"/>
      <c r="D309" s="143"/>
      <c r="E309" s="40"/>
      <c r="F309" s="211"/>
      <c r="G309" s="212"/>
      <c r="H309" s="41"/>
      <c r="I309" s="182"/>
      <c r="J309" s="201"/>
      <c r="K309" s="84"/>
      <c r="L309" s="159"/>
      <c r="M309" s="213"/>
      <c r="N309" s="42"/>
      <c r="O309" s="42"/>
      <c r="P309" s="229"/>
      <c r="Q309" s="42"/>
      <c r="R309" s="42"/>
      <c r="S309" s="160"/>
      <c r="T309" s="160"/>
      <c r="U309" s="163"/>
      <c r="V309" s="234"/>
      <c r="W309" s="162"/>
      <c r="X309" s="164"/>
      <c r="Y309" s="161"/>
      <c r="Z309" s="164"/>
      <c r="AA309" s="161"/>
      <c r="AB309" s="161"/>
      <c r="AC309" s="164"/>
      <c r="AD309" s="161"/>
      <c r="AE309" s="161"/>
      <c r="AF309" s="165"/>
      <c r="AG309" s="165"/>
      <c r="AH309" s="169"/>
      <c r="AI309" s="46"/>
      <c r="AJ309" s="138"/>
      <c r="AK309" s="138"/>
      <c r="AL309" s="138"/>
      <c r="AM309" s="42"/>
      <c r="AO309" s="42"/>
      <c r="AQ309" s="43"/>
      <c r="AR309" s="43"/>
      <c r="AS309" s="44"/>
      <c r="AT309" s="44"/>
      <c r="AU309" s="44"/>
      <c r="AW309" s="42"/>
      <c r="AX309" s="42"/>
      <c r="AY309" s="45"/>
      <c r="AZ309" s="47"/>
      <c r="BG309" s="43"/>
      <c r="BI309" s="43"/>
      <c r="BJ309" s="43"/>
      <c r="BK309" s="43"/>
      <c r="BL309" s="43"/>
      <c r="BM309" s="43"/>
      <c r="BO309" s="43"/>
      <c r="BR309" s="43"/>
      <c r="BS309" s="43"/>
      <c r="BW309" s="43"/>
      <c r="CC309" s="43"/>
      <c r="CE309" s="43"/>
      <c r="CF309" s="43"/>
      <c r="CH309" s="43"/>
      <c r="CK309" s="43"/>
    </row>
    <row r="310" spans="2:89" ht="15.75" customHeight="1" x14ac:dyDescent="0.25">
      <c r="B310" s="89"/>
      <c r="C310" s="123"/>
      <c r="D310" s="47"/>
      <c r="E310" s="40"/>
      <c r="F310" s="43"/>
      <c r="G310" s="43"/>
      <c r="H310" s="41"/>
      <c r="I310" s="42"/>
      <c r="J310" s="42"/>
      <c r="K310" s="84"/>
      <c r="L310" s="45"/>
      <c r="M310" s="43"/>
      <c r="N310" s="42"/>
      <c r="O310" s="42"/>
      <c r="P310" s="229"/>
      <c r="Q310" s="42"/>
      <c r="R310" s="42"/>
      <c r="S310" s="42"/>
      <c r="T310" s="42"/>
      <c r="U310" s="67"/>
      <c r="V310" s="220"/>
      <c r="W310" s="48"/>
      <c r="X310" s="49"/>
      <c r="Y310" s="43"/>
      <c r="Z310" s="49"/>
      <c r="AA310" s="43"/>
      <c r="AB310" s="43"/>
      <c r="AC310" s="49"/>
      <c r="AE310" s="43"/>
      <c r="AF310" s="69"/>
      <c r="AI310" s="46"/>
      <c r="AJ310" s="138"/>
      <c r="AK310" s="138"/>
      <c r="AL310" s="138"/>
      <c r="AM310" s="42"/>
      <c r="AO310" s="42"/>
      <c r="AQ310" s="43"/>
      <c r="AR310" s="43"/>
      <c r="AS310" s="44"/>
      <c r="AT310" s="152"/>
      <c r="AU310" s="44"/>
      <c r="AW310" s="42"/>
      <c r="AX310" s="42"/>
      <c r="AY310" s="45"/>
      <c r="AZ310" s="47"/>
      <c r="BG310" s="43"/>
      <c r="BI310" s="43"/>
      <c r="BJ310" s="43"/>
      <c r="BK310" s="43"/>
      <c r="BL310" s="43"/>
      <c r="BM310" s="43"/>
      <c r="BO310" s="43"/>
      <c r="BR310" s="43"/>
      <c r="BS310" s="43"/>
      <c r="BW310" s="43"/>
      <c r="CC310" s="43"/>
      <c r="CE310" s="43"/>
      <c r="CF310" s="43"/>
      <c r="CH310" s="43"/>
      <c r="CK310" s="43"/>
    </row>
    <row r="311" spans="2:89" x14ac:dyDescent="0.25">
      <c r="B311" s="89"/>
      <c r="C311" s="123"/>
      <c r="D311" s="47"/>
      <c r="E311" s="40"/>
      <c r="F311" s="43"/>
      <c r="G311" s="43"/>
      <c r="H311" s="41"/>
      <c r="I311" s="42"/>
      <c r="J311" s="42"/>
      <c r="K311" s="84"/>
      <c r="L311" s="45"/>
      <c r="M311" s="50"/>
      <c r="N311" s="42"/>
      <c r="O311" s="42"/>
      <c r="P311" s="229"/>
      <c r="Q311" s="42"/>
      <c r="R311" s="42"/>
      <c r="S311" s="42"/>
      <c r="T311" s="42"/>
      <c r="U311" s="67"/>
      <c r="V311" s="220"/>
      <c r="W311" s="48"/>
      <c r="X311" s="49"/>
      <c r="Y311" s="43"/>
      <c r="Z311" s="49"/>
      <c r="AA311" s="43"/>
      <c r="AB311" s="43"/>
      <c r="AC311" s="49"/>
      <c r="AE311" s="43"/>
      <c r="AF311" s="69"/>
      <c r="AI311" s="46"/>
      <c r="AJ311" s="138"/>
      <c r="AK311" s="138"/>
      <c r="AL311" s="138"/>
      <c r="AM311" s="42"/>
      <c r="AO311" s="42"/>
      <c r="AQ311" s="43"/>
      <c r="AR311" s="43"/>
      <c r="AS311" s="44"/>
      <c r="AT311" s="44"/>
      <c r="AU311" s="44"/>
      <c r="AW311" s="42"/>
      <c r="AX311" s="42"/>
      <c r="AY311" s="45"/>
      <c r="AZ311" s="47"/>
      <c r="BG311" s="43"/>
      <c r="BI311" s="43"/>
      <c r="BJ311" s="43"/>
      <c r="BK311" s="43"/>
      <c r="BL311" s="43"/>
      <c r="BM311" s="43"/>
      <c r="BO311" s="43"/>
      <c r="BR311" s="43"/>
      <c r="BS311" s="43"/>
      <c r="BW311" s="43"/>
      <c r="CC311" s="43"/>
      <c r="CE311" s="43"/>
      <c r="CF311" s="43"/>
      <c r="CH311" s="43"/>
      <c r="CK311" s="43"/>
    </row>
    <row r="312" spans="2:89" ht="15.75" customHeight="1" x14ac:dyDescent="0.25">
      <c r="B312" s="89"/>
      <c r="C312" s="123"/>
      <c r="D312" s="47"/>
      <c r="E312" s="40"/>
      <c r="F312" s="43"/>
      <c r="G312" s="43"/>
      <c r="H312" s="41"/>
      <c r="I312" s="42"/>
      <c r="J312" s="42"/>
      <c r="K312" s="84"/>
      <c r="L312" s="45"/>
      <c r="M312" s="43"/>
      <c r="N312" s="42"/>
      <c r="O312" s="42"/>
      <c r="P312" s="223"/>
      <c r="Q312" s="42"/>
      <c r="R312" s="42"/>
      <c r="S312" s="42"/>
      <c r="T312" s="42"/>
      <c r="U312" s="67"/>
      <c r="V312" s="220"/>
      <c r="W312" s="48"/>
      <c r="X312" s="49"/>
      <c r="Y312" s="43"/>
      <c r="Z312" s="49"/>
      <c r="AA312" s="43"/>
      <c r="AB312" s="43"/>
      <c r="AC312" s="49"/>
      <c r="AE312" s="43"/>
      <c r="AF312" s="69"/>
      <c r="AI312" s="46"/>
      <c r="AJ312" s="138"/>
      <c r="AK312" s="138"/>
      <c r="AL312" s="138"/>
      <c r="AM312" s="42"/>
      <c r="AO312" s="42"/>
      <c r="AQ312" s="43"/>
      <c r="AR312" s="43"/>
      <c r="AS312" s="44"/>
      <c r="AT312" s="152"/>
      <c r="AU312" s="44"/>
      <c r="AW312" s="42"/>
      <c r="AX312" s="42"/>
      <c r="AY312" s="45"/>
      <c r="AZ312" s="47"/>
      <c r="BG312" s="43"/>
      <c r="BI312" s="43"/>
      <c r="BJ312" s="43"/>
      <c r="BK312" s="43"/>
      <c r="BL312" s="43"/>
      <c r="BM312" s="43"/>
      <c r="BO312" s="43"/>
      <c r="BR312" s="43"/>
      <c r="BS312" s="43"/>
      <c r="BW312" s="43"/>
      <c r="CC312" s="43"/>
      <c r="CE312" s="43"/>
      <c r="CF312" s="43"/>
      <c r="CH312" s="43"/>
      <c r="CK312" s="43"/>
    </row>
    <row r="313" spans="2:89" x14ac:dyDescent="0.25">
      <c r="B313" s="89"/>
      <c r="C313" s="123"/>
      <c r="D313" s="47"/>
      <c r="E313" s="40"/>
      <c r="F313" s="43"/>
      <c r="G313" s="43"/>
      <c r="H313" s="41"/>
      <c r="I313" s="42"/>
      <c r="J313" s="42"/>
      <c r="K313" s="84"/>
      <c r="L313" s="45"/>
      <c r="M313" s="43"/>
      <c r="N313" s="42"/>
      <c r="O313" s="42"/>
      <c r="P313" s="223"/>
      <c r="Q313" s="42"/>
      <c r="R313" s="42"/>
      <c r="S313" s="42"/>
      <c r="T313" s="42"/>
      <c r="U313" s="67"/>
      <c r="V313" s="220"/>
      <c r="W313" s="48"/>
      <c r="X313" s="49"/>
      <c r="Y313" s="43"/>
      <c r="Z313" s="49"/>
      <c r="AA313" s="43"/>
      <c r="AB313" s="43"/>
      <c r="AC313" s="49"/>
      <c r="AE313" s="43"/>
      <c r="AF313" s="69"/>
      <c r="AI313" s="46"/>
      <c r="AJ313" s="138"/>
      <c r="AK313" s="138"/>
      <c r="AL313" s="138"/>
      <c r="AM313" s="42"/>
      <c r="AO313" s="42"/>
      <c r="AQ313" s="43"/>
      <c r="AR313" s="43"/>
      <c r="AS313" s="44"/>
      <c r="AT313" s="44"/>
      <c r="AU313" s="44"/>
      <c r="AW313" s="42"/>
      <c r="AX313" s="42"/>
      <c r="AY313" s="45"/>
      <c r="AZ313" s="47"/>
      <c r="BG313" s="43"/>
      <c r="BI313" s="43"/>
      <c r="BJ313" s="43"/>
      <c r="BK313" s="43"/>
      <c r="BL313" s="43"/>
      <c r="BM313" s="43"/>
      <c r="BO313" s="43"/>
      <c r="BR313" s="43"/>
      <c r="BS313" s="43"/>
      <c r="BW313" s="43"/>
      <c r="CC313" s="43"/>
      <c r="CE313" s="43"/>
      <c r="CF313" s="43"/>
      <c r="CH313" s="43"/>
      <c r="CK313" s="43"/>
    </row>
    <row r="314" spans="2:89" x14ac:dyDescent="0.25">
      <c r="B314" s="89"/>
      <c r="C314" s="123"/>
      <c r="D314" s="47"/>
      <c r="E314" s="40"/>
      <c r="F314" s="43"/>
      <c r="G314" s="43"/>
      <c r="H314" s="41"/>
      <c r="I314" s="42"/>
      <c r="J314" s="42"/>
      <c r="K314" s="84"/>
      <c r="L314" s="45"/>
      <c r="M314" s="50"/>
      <c r="N314" s="42"/>
      <c r="O314" s="42"/>
      <c r="P314" s="231"/>
      <c r="Q314" s="42"/>
      <c r="R314" s="42"/>
      <c r="S314" s="42"/>
      <c r="T314" s="42"/>
      <c r="U314" s="67"/>
      <c r="V314" s="220"/>
      <c r="W314" s="48"/>
      <c r="X314" s="49"/>
      <c r="Y314" s="43"/>
      <c r="Z314" s="49"/>
      <c r="AA314" s="43"/>
      <c r="AB314" s="43"/>
      <c r="AC314" s="49"/>
      <c r="AE314" s="43"/>
      <c r="AF314" s="69"/>
      <c r="AI314" s="46"/>
      <c r="AJ314" s="138"/>
      <c r="AK314" s="138"/>
      <c r="AL314" s="138"/>
      <c r="AM314" s="42"/>
      <c r="AO314" s="42"/>
      <c r="AQ314" s="43"/>
      <c r="AR314" s="43"/>
      <c r="AS314" s="44"/>
      <c r="AT314" s="44"/>
      <c r="AU314" s="44"/>
      <c r="AW314" s="42"/>
      <c r="AX314" s="42"/>
      <c r="AY314" s="45"/>
      <c r="AZ314" s="47"/>
      <c r="BG314" s="43"/>
      <c r="BI314" s="43"/>
      <c r="BJ314" s="43"/>
      <c r="BK314" s="43"/>
      <c r="BL314" s="43"/>
      <c r="BM314" s="43"/>
      <c r="BO314" s="43"/>
      <c r="BR314" s="43"/>
      <c r="BS314" s="43"/>
      <c r="BW314" s="43"/>
      <c r="CC314" s="43"/>
      <c r="CE314" s="43"/>
      <c r="CF314" s="43"/>
      <c r="CH314" s="43"/>
      <c r="CK314" s="43"/>
    </row>
    <row r="315" spans="2:89" ht="15.75" customHeight="1" x14ac:dyDescent="0.25">
      <c r="B315" s="157"/>
      <c r="C315" s="123"/>
      <c r="D315" s="143"/>
      <c r="E315" s="40"/>
      <c r="F315" s="111"/>
      <c r="G315" s="111"/>
      <c r="H315" s="176"/>
      <c r="I315" s="214"/>
      <c r="J315" s="214"/>
      <c r="K315" s="177"/>
      <c r="L315" s="45"/>
      <c r="M315" s="50"/>
      <c r="N315" s="42"/>
      <c r="O315" s="42"/>
      <c r="P315" s="223"/>
      <c r="Q315" s="42"/>
      <c r="R315" s="42"/>
      <c r="S315" s="42"/>
      <c r="T315" s="42"/>
      <c r="U315" s="178"/>
      <c r="V315" s="222"/>
      <c r="W315" s="48"/>
      <c r="X315" s="49"/>
      <c r="Y315" s="43"/>
      <c r="Z315" s="49"/>
      <c r="AA315" s="43"/>
      <c r="AB315" s="43"/>
      <c r="AC315" s="49"/>
      <c r="AE315" s="43"/>
      <c r="AF315" s="69"/>
      <c r="AG315" s="69"/>
      <c r="AI315" s="46"/>
      <c r="AJ315" s="139"/>
      <c r="AK315" s="138"/>
      <c r="AL315" s="138"/>
      <c r="AM315" s="42"/>
      <c r="AO315" s="42"/>
      <c r="AQ315" s="43"/>
      <c r="AR315" s="43"/>
      <c r="AS315" s="44"/>
      <c r="AT315" s="44"/>
      <c r="AU315" s="44"/>
      <c r="AW315" s="42"/>
      <c r="AX315" s="42"/>
      <c r="AY315" s="45"/>
      <c r="AZ315" s="47"/>
      <c r="BG315" s="43"/>
      <c r="BI315" s="43"/>
      <c r="BJ315" s="43"/>
      <c r="BK315" s="43"/>
      <c r="BL315" s="43"/>
      <c r="BM315" s="43"/>
      <c r="BO315" s="43"/>
      <c r="BR315" s="43"/>
      <c r="BS315" s="43"/>
      <c r="BW315" s="43"/>
      <c r="CC315" s="43"/>
      <c r="CE315" s="43"/>
      <c r="CF315" s="43"/>
      <c r="CH315" s="43"/>
      <c r="CK315" s="43"/>
    </row>
    <row r="316" spans="2:89" x14ac:dyDescent="0.25">
      <c r="B316" s="89"/>
      <c r="C316" s="123"/>
      <c r="D316" s="47"/>
      <c r="E316" s="40"/>
      <c r="F316" s="43"/>
      <c r="G316" s="43"/>
      <c r="H316" s="41"/>
      <c r="I316" s="42"/>
      <c r="J316" s="42"/>
      <c r="K316" s="84"/>
      <c r="L316" s="45"/>
      <c r="M316" s="43"/>
      <c r="N316" s="42"/>
      <c r="O316" s="42"/>
      <c r="P316" s="42"/>
      <c r="Q316" s="42"/>
      <c r="R316" s="42"/>
      <c r="S316" s="42"/>
      <c r="T316" s="42"/>
      <c r="U316" s="67"/>
      <c r="V316" s="220"/>
      <c r="W316" s="48"/>
      <c r="X316" s="49"/>
      <c r="Y316" s="43"/>
      <c r="Z316" s="49"/>
      <c r="AA316" s="43"/>
      <c r="AB316" s="43"/>
      <c r="AC316" s="49"/>
      <c r="AE316" s="43"/>
      <c r="AF316" s="69"/>
      <c r="AI316" s="46"/>
      <c r="AJ316" s="138"/>
      <c r="AK316" s="138"/>
      <c r="AL316" s="138"/>
      <c r="AM316" s="42"/>
      <c r="AO316" s="42"/>
      <c r="AQ316" s="43"/>
      <c r="AR316" s="43"/>
      <c r="AS316" s="44"/>
      <c r="AT316" s="152"/>
      <c r="AU316" s="44"/>
      <c r="AW316" s="42"/>
      <c r="AX316" s="42"/>
      <c r="AY316" s="45"/>
      <c r="AZ316" s="47"/>
      <c r="BG316" s="43"/>
      <c r="BI316" s="43"/>
      <c r="BJ316" s="43"/>
      <c r="BK316" s="43"/>
      <c r="BL316" s="43"/>
      <c r="BM316" s="43"/>
      <c r="BO316" s="43"/>
      <c r="BR316" s="43"/>
      <c r="BS316" s="43"/>
      <c r="BW316" s="43"/>
      <c r="CC316" s="43"/>
      <c r="CE316" s="43"/>
      <c r="CF316" s="43"/>
      <c r="CH316" s="43"/>
      <c r="CK316" s="43"/>
    </row>
    <row r="317" spans="2:89" x14ac:dyDescent="0.25">
      <c r="B317" s="89"/>
      <c r="C317" s="123"/>
      <c r="D317" s="47"/>
      <c r="E317" s="40"/>
      <c r="F317" s="43"/>
      <c r="G317" s="43"/>
      <c r="H317" s="41"/>
      <c r="I317" s="42"/>
      <c r="J317" s="42"/>
      <c r="K317" s="84"/>
      <c r="L317" s="45"/>
      <c r="M317" s="43"/>
      <c r="N317" s="42"/>
      <c r="O317" s="42"/>
      <c r="P317" s="229"/>
      <c r="Q317" s="42"/>
      <c r="R317" s="42"/>
      <c r="S317" s="42"/>
      <c r="T317" s="42"/>
      <c r="U317" s="67"/>
      <c r="V317" s="220"/>
      <c r="W317" s="48"/>
      <c r="X317" s="49"/>
      <c r="Y317" s="43"/>
      <c r="Z317" s="49"/>
      <c r="AA317" s="43"/>
      <c r="AB317" s="43"/>
      <c r="AC317" s="49"/>
      <c r="AE317" s="43"/>
      <c r="AF317" s="69"/>
      <c r="AI317" s="46"/>
      <c r="AJ317" s="138"/>
      <c r="AK317" s="138"/>
      <c r="AL317" s="138"/>
      <c r="AM317" s="42"/>
      <c r="AO317" s="42"/>
      <c r="AQ317" s="43"/>
      <c r="AR317" s="43"/>
      <c r="AS317" s="44"/>
      <c r="AT317" s="44"/>
      <c r="AU317" s="44"/>
      <c r="AW317" s="42"/>
      <c r="AX317" s="42"/>
      <c r="AY317" s="45"/>
      <c r="AZ317" s="47"/>
      <c r="BG317" s="43"/>
      <c r="BI317" s="43"/>
      <c r="BJ317" s="43"/>
      <c r="BK317" s="43"/>
      <c r="BL317" s="43"/>
      <c r="BM317" s="43"/>
      <c r="BO317" s="43"/>
      <c r="BR317" s="43"/>
      <c r="BS317" s="43"/>
      <c r="BW317" s="43"/>
      <c r="CC317" s="43"/>
      <c r="CE317" s="43"/>
      <c r="CF317" s="43"/>
      <c r="CH317" s="43"/>
      <c r="CK317" s="43"/>
    </row>
    <row r="318" spans="2:89" x14ac:dyDescent="0.25">
      <c r="B318" s="89"/>
      <c r="C318" s="123"/>
      <c r="D318" s="47"/>
      <c r="E318" s="40"/>
      <c r="F318" s="43"/>
      <c r="G318" s="43"/>
      <c r="H318" s="41"/>
      <c r="I318" s="42"/>
      <c r="J318" s="42"/>
      <c r="K318" s="84"/>
      <c r="L318" s="45"/>
      <c r="M318" s="43"/>
      <c r="N318" s="42"/>
      <c r="O318" s="42"/>
      <c r="P318" s="229"/>
      <c r="Q318" s="42"/>
      <c r="R318" s="42"/>
      <c r="S318" s="42"/>
      <c r="T318" s="42"/>
      <c r="U318" s="67"/>
      <c r="V318" s="220"/>
      <c r="W318" s="48"/>
      <c r="X318" s="49"/>
      <c r="Y318" s="43"/>
      <c r="Z318" s="49"/>
      <c r="AA318" s="43"/>
      <c r="AB318" s="43"/>
      <c r="AC318" s="49"/>
      <c r="AE318" s="43"/>
      <c r="AF318" s="69"/>
      <c r="AI318" s="46"/>
      <c r="AJ318" s="138"/>
      <c r="AK318" s="138"/>
      <c r="AL318" s="138"/>
      <c r="AM318" s="42"/>
      <c r="AO318" s="42"/>
      <c r="AQ318" s="43"/>
      <c r="AR318" s="43"/>
      <c r="AS318" s="44"/>
      <c r="AT318" s="152"/>
      <c r="AU318" s="44"/>
      <c r="AW318" s="42"/>
      <c r="AX318" s="42"/>
      <c r="AY318" s="45"/>
      <c r="AZ318" s="47"/>
      <c r="BG318" s="43"/>
      <c r="BI318" s="43"/>
      <c r="BJ318" s="43"/>
      <c r="BK318" s="43"/>
      <c r="BL318" s="43"/>
      <c r="BM318" s="43"/>
      <c r="BO318" s="43"/>
      <c r="BR318" s="43"/>
      <c r="BS318" s="43"/>
      <c r="BW318" s="43"/>
      <c r="CC318" s="43"/>
      <c r="CE318" s="43"/>
      <c r="CF318" s="43"/>
      <c r="CH318" s="43"/>
      <c r="CK318" s="43"/>
    </row>
    <row r="319" spans="2:89" x14ac:dyDescent="0.25">
      <c r="B319" s="89"/>
      <c r="C319" s="123"/>
      <c r="D319" s="47"/>
      <c r="E319" s="40"/>
      <c r="F319" s="43"/>
      <c r="G319" s="43"/>
      <c r="H319" s="41"/>
      <c r="I319" s="42"/>
      <c r="J319" s="42"/>
      <c r="K319" s="84"/>
      <c r="L319" s="45"/>
      <c r="M319" s="43"/>
      <c r="N319" s="42"/>
      <c r="O319" s="42"/>
      <c r="P319" s="223"/>
      <c r="Q319" s="42"/>
      <c r="R319" s="42"/>
      <c r="S319" s="42"/>
      <c r="T319" s="42"/>
      <c r="U319" s="67"/>
      <c r="V319" s="220"/>
      <c r="W319" s="48"/>
      <c r="X319" s="49"/>
      <c r="Y319" s="43"/>
      <c r="Z319" s="49"/>
      <c r="AA319" s="43"/>
      <c r="AB319" s="43"/>
      <c r="AC319" s="49"/>
      <c r="AE319" s="43"/>
      <c r="AF319" s="69"/>
      <c r="AI319" s="46"/>
      <c r="AJ319" s="138"/>
      <c r="AK319" s="138"/>
      <c r="AL319" s="138"/>
      <c r="AM319" s="42"/>
      <c r="AO319" s="42"/>
      <c r="AQ319" s="43"/>
      <c r="AR319" s="43"/>
      <c r="AS319" s="44"/>
      <c r="AT319" s="44"/>
      <c r="AU319" s="44"/>
      <c r="AW319" s="42"/>
      <c r="AX319" s="42"/>
      <c r="AY319" s="45"/>
      <c r="AZ319" s="47"/>
      <c r="BG319" s="43"/>
      <c r="BI319" s="43"/>
      <c r="BJ319" s="43"/>
      <c r="BK319" s="43"/>
      <c r="BL319" s="43"/>
      <c r="BM319" s="43"/>
      <c r="BO319" s="43"/>
      <c r="BR319" s="43"/>
      <c r="BS319" s="43"/>
      <c r="BW319" s="43"/>
      <c r="CC319" s="43"/>
      <c r="CE319" s="43"/>
      <c r="CF319" s="43"/>
      <c r="CH319" s="43"/>
      <c r="CK319" s="43"/>
    </row>
    <row r="320" spans="2:89" x14ac:dyDescent="0.25">
      <c r="B320" s="89"/>
      <c r="C320" s="123"/>
      <c r="D320" s="47"/>
      <c r="E320" s="40"/>
      <c r="F320" s="43"/>
      <c r="G320" s="43"/>
      <c r="H320" s="41"/>
      <c r="I320" s="42"/>
      <c r="J320" s="42"/>
      <c r="K320" s="84"/>
      <c r="L320" s="45"/>
      <c r="M320" s="43"/>
      <c r="N320" s="42"/>
      <c r="O320" s="42"/>
      <c r="P320" s="229"/>
      <c r="Q320" s="42"/>
      <c r="R320" s="42"/>
      <c r="S320" s="42"/>
      <c r="T320" s="42"/>
      <c r="U320" s="67"/>
      <c r="V320" s="220"/>
      <c r="W320" s="48"/>
      <c r="X320" s="49"/>
      <c r="Y320" s="43"/>
      <c r="Z320" s="49"/>
      <c r="AA320" s="43"/>
      <c r="AB320" s="43"/>
      <c r="AC320" s="49"/>
      <c r="AE320" s="43"/>
      <c r="AF320" s="69"/>
      <c r="AI320" s="46"/>
      <c r="AJ320" s="138"/>
      <c r="AK320" s="138"/>
      <c r="AL320" s="138"/>
      <c r="AM320" s="42"/>
      <c r="AO320" s="42"/>
      <c r="AQ320" s="43"/>
      <c r="AR320" s="43"/>
      <c r="AS320" s="44"/>
      <c r="AT320" s="152"/>
      <c r="AU320" s="44"/>
      <c r="AW320" s="42"/>
      <c r="AX320" s="42"/>
      <c r="AY320" s="45"/>
      <c r="AZ320" s="47"/>
      <c r="BG320" s="43"/>
      <c r="BI320" s="43"/>
      <c r="BJ320" s="43"/>
      <c r="BK320" s="43"/>
      <c r="BL320" s="43"/>
      <c r="BM320" s="43"/>
      <c r="BO320" s="43"/>
      <c r="BR320" s="43"/>
      <c r="BS320" s="43"/>
      <c r="BW320" s="43"/>
      <c r="CC320" s="43"/>
      <c r="CE320" s="43"/>
      <c r="CF320" s="43"/>
      <c r="CH320" s="43"/>
      <c r="CK320" s="43"/>
    </row>
    <row r="321" spans="2:89" x14ac:dyDescent="0.25">
      <c r="B321" s="89"/>
      <c r="C321" s="123"/>
      <c r="D321" s="47"/>
      <c r="E321" s="40"/>
      <c r="F321" s="43"/>
      <c r="G321" s="43"/>
      <c r="H321" s="41"/>
      <c r="I321" s="42"/>
      <c r="J321" s="42"/>
      <c r="K321" s="84"/>
      <c r="L321" s="45"/>
      <c r="M321" s="43"/>
      <c r="N321" s="42"/>
      <c r="O321" s="42"/>
      <c r="P321" s="42"/>
      <c r="Q321" s="42"/>
      <c r="R321" s="42"/>
      <c r="S321" s="42"/>
      <c r="T321" s="42"/>
      <c r="U321" s="67"/>
      <c r="V321" s="220"/>
      <c r="W321" s="48"/>
      <c r="X321" s="49"/>
      <c r="Y321" s="43"/>
      <c r="Z321" s="49"/>
      <c r="AA321" s="43"/>
      <c r="AB321" s="43"/>
      <c r="AC321" s="49"/>
      <c r="AE321" s="43"/>
      <c r="AF321" s="69"/>
      <c r="AI321" s="46"/>
      <c r="AJ321" s="138"/>
      <c r="AK321" s="138"/>
      <c r="AL321" s="138"/>
      <c r="AM321" s="42"/>
      <c r="AO321" s="42"/>
      <c r="AQ321" s="43"/>
      <c r="AR321" s="43"/>
      <c r="AS321" s="44"/>
      <c r="AT321" s="44"/>
      <c r="AU321" s="44"/>
      <c r="AW321" s="42"/>
      <c r="AX321" s="42"/>
      <c r="AY321" s="45"/>
      <c r="AZ321" s="47"/>
      <c r="BG321" s="43"/>
      <c r="BI321" s="43"/>
      <c r="BJ321" s="43"/>
      <c r="BK321" s="43"/>
      <c r="BL321" s="43"/>
      <c r="BM321" s="43"/>
      <c r="BO321" s="43"/>
      <c r="BR321" s="43"/>
      <c r="BS321" s="43"/>
      <c r="BW321" s="43"/>
      <c r="CC321" s="43"/>
      <c r="CE321" s="43"/>
      <c r="CF321" s="43"/>
      <c r="CH321" s="43"/>
      <c r="CK321" s="43"/>
    </row>
    <row r="322" spans="2:89" x14ac:dyDescent="0.25">
      <c r="B322" s="89"/>
      <c r="C322" s="123"/>
      <c r="D322" s="47"/>
      <c r="E322" s="40"/>
      <c r="F322" s="43"/>
      <c r="G322" s="43"/>
      <c r="H322" s="41"/>
      <c r="I322" s="42"/>
      <c r="J322" s="42"/>
      <c r="K322" s="84"/>
      <c r="L322" s="45"/>
      <c r="M322" s="43"/>
      <c r="N322" s="42"/>
      <c r="O322" s="42"/>
      <c r="P322" s="223"/>
      <c r="Q322" s="42"/>
      <c r="R322" s="42"/>
      <c r="S322" s="42"/>
      <c r="T322" s="42"/>
      <c r="U322" s="67"/>
      <c r="V322" s="220"/>
      <c r="W322" s="48"/>
      <c r="X322" s="49"/>
      <c r="Y322" s="43"/>
      <c r="Z322" s="49"/>
      <c r="AA322" s="43"/>
      <c r="AB322" s="43"/>
      <c r="AC322" s="49"/>
      <c r="AE322" s="43"/>
      <c r="AF322" s="69"/>
      <c r="AI322" s="46"/>
      <c r="AJ322" s="138"/>
      <c r="AK322" s="138"/>
      <c r="AL322" s="138"/>
      <c r="AM322" s="42"/>
      <c r="AO322" s="42"/>
      <c r="AQ322" s="43"/>
      <c r="AR322" s="43"/>
      <c r="AS322" s="44"/>
      <c r="AT322" s="152"/>
      <c r="AU322" s="44"/>
      <c r="AW322" s="42"/>
      <c r="AX322" s="42"/>
      <c r="AY322" s="45"/>
      <c r="AZ322" s="47"/>
      <c r="BG322" s="43"/>
      <c r="BI322" s="43"/>
      <c r="BJ322" s="43"/>
      <c r="BK322" s="43"/>
      <c r="BL322" s="43"/>
      <c r="BM322" s="43"/>
      <c r="BO322" s="43"/>
      <c r="BR322" s="43"/>
      <c r="BS322" s="43"/>
      <c r="BW322" s="43"/>
      <c r="CC322" s="43"/>
      <c r="CE322" s="43"/>
      <c r="CF322" s="43"/>
      <c r="CH322" s="43"/>
      <c r="CK322" s="43"/>
    </row>
    <row r="323" spans="2:89" x14ac:dyDescent="0.25">
      <c r="B323" s="89"/>
      <c r="C323" s="123"/>
      <c r="D323" s="47"/>
      <c r="E323" s="40"/>
      <c r="F323" s="43"/>
      <c r="G323" s="43"/>
      <c r="H323" s="41"/>
      <c r="I323" s="42"/>
      <c r="J323" s="42"/>
      <c r="K323" s="84"/>
      <c r="L323" s="45"/>
      <c r="M323" s="43"/>
      <c r="N323" s="42"/>
      <c r="O323" s="42"/>
      <c r="P323" s="223"/>
      <c r="Q323" s="42"/>
      <c r="R323" s="42"/>
      <c r="S323" s="42"/>
      <c r="T323" s="42"/>
      <c r="U323" s="67"/>
      <c r="V323" s="220"/>
      <c r="W323" s="48"/>
      <c r="X323" s="49"/>
      <c r="Y323" s="43"/>
      <c r="Z323" s="49"/>
      <c r="AA323" s="43"/>
      <c r="AB323" s="43"/>
      <c r="AC323" s="49"/>
      <c r="AE323" s="43"/>
      <c r="AF323" s="69"/>
      <c r="AI323" s="46"/>
      <c r="AJ323" s="138"/>
      <c r="AK323" s="138"/>
      <c r="AL323" s="138"/>
      <c r="AM323" s="42"/>
      <c r="AO323" s="42"/>
      <c r="AQ323" s="43"/>
      <c r="AR323" s="43"/>
      <c r="AS323" s="44"/>
      <c r="AT323" s="44"/>
      <c r="AU323" s="44"/>
      <c r="AW323" s="42"/>
      <c r="AX323" s="42"/>
      <c r="AY323" s="45"/>
      <c r="AZ323" s="47"/>
      <c r="BG323" s="43"/>
      <c r="BI323" s="43"/>
      <c r="BJ323" s="43"/>
      <c r="BK323" s="43"/>
      <c r="BL323" s="43"/>
      <c r="BM323" s="43"/>
      <c r="BO323" s="43"/>
      <c r="BR323" s="43"/>
      <c r="BS323" s="43"/>
      <c r="BW323" s="43"/>
      <c r="CC323" s="43"/>
      <c r="CE323" s="43"/>
      <c r="CF323" s="43"/>
      <c r="CH323" s="43"/>
      <c r="CK323" s="43"/>
    </row>
    <row r="324" spans="2:89" ht="15.75" customHeight="1" x14ac:dyDescent="0.25">
      <c r="B324" s="89"/>
      <c r="C324" s="123"/>
      <c r="D324" s="47"/>
      <c r="E324" s="40"/>
      <c r="F324" s="43"/>
      <c r="G324" s="43"/>
      <c r="H324" s="41"/>
      <c r="I324" s="42"/>
      <c r="J324" s="42"/>
      <c r="K324" s="84"/>
      <c r="L324" s="45"/>
      <c r="M324" s="43"/>
      <c r="N324" s="42"/>
      <c r="O324" s="42"/>
      <c r="P324" s="223"/>
      <c r="Q324" s="42"/>
      <c r="R324" s="42"/>
      <c r="S324" s="42"/>
      <c r="T324" s="42"/>
      <c r="U324" s="67"/>
      <c r="V324" s="220"/>
      <c r="W324" s="48"/>
      <c r="X324" s="49"/>
      <c r="Y324" s="43"/>
      <c r="Z324" s="49"/>
      <c r="AA324" s="43"/>
      <c r="AB324" s="43"/>
      <c r="AC324" s="49"/>
      <c r="AE324" s="43"/>
      <c r="AF324" s="69"/>
      <c r="AI324" s="46"/>
      <c r="AJ324" s="138"/>
      <c r="AK324" s="138"/>
      <c r="AL324" s="138"/>
      <c r="AM324" s="42"/>
      <c r="AO324" s="42"/>
      <c r="AQ324" s="43"/>
      <c r="AR324" s="43"/>
      <c r="AS324" s="44"/>
      <c r="AT324" s="152"/>
      <c r="AU324" s="44"/>
      <c r="AW324" s="42"/>
      <c r="AX324" s="42"/>
      <c r="AY324" s="45"/>
      <c r="AZ324" s="47"/>
      <c r="BG324" s="43"/>
      <c r="BI324" s="43"/>
      <c r="BJ324" s="43"/>
      <c r="BK324" s="43"/>
      <c r="BL324" s="43"/>
      <c r="BM324" s="43"/>
      <c r="BO324" s="43"/>
      <c r="BR324" s="43"/>
      <c r="BS324" s="43"/>
      <c r="BW324" s="43"/>
      <c r="CC324" s="43"/>
      <c r="CE324" s="43"/>
      <c r="CF324" s="43"/>
      <c r="CH324" s="43"/>
      <c r="CK324" s="43"/>
    </row>
    <row r="325" spans="2:89" x14ac:dyDescent="0.25">
      <c r="B325" s="89"/>
      <c r="C325" s="123"/>
      <c r="D325" s="47"/>
      <c r="E325" s="40"/>
      <c r="F325" s="43"/>
      <c r="G325" s="43"/>
      <c r="H325" s="41"/>
      <c r="I325" s="42"/>
      <c r="J325" s="42"/>
      <c r="K325" s="84"/>
      <c r="L325" s="45"/>
      <c r="M325" s="43"/>
      <c r="N325" s="42"/>
      <c r="O325" s="42"/>
      <c r="P325" s="42"/>
      <c r="Q325" s="42"/>
      <c r="R325" s="42"/>
      <c r="S325" s="42"/>
      <c r="T325" s="42"/>
      <c r="U325" s="67"/>
      <c r="V325" s="220"/>
      <c r="W325" s="48"/>
      <c r="X325" s="49"/>
      <c r="Y325" s="43"/>
      <c r="Z325" s="49"/>
      <c r="AA325" s="43"/>
      <c r="AB325" s="43"/>
      <c r="AC325" s="49"/>
      <c r="AE325" s="43"/>
      <c r="AF325" s="69"/>
      <c r="AI325" s="46"/>
      <c r="AJ325" s="138"/>
      <c r="AK325" s="138"/>
      <c r="AL325" s="138"/>
      <c r="AM325" s="42"/>
      <c r="AO325" s="42"/>
      <c r="AQ325" s="43"/>
      <c r="AR325" s="43"/>
      <c r="AS325" s="44"/>
      <c r="AT325" s="44"/>
      <c r="AU325" s="44"/>
      <c r="AW325" s="42"/>
      <c r="AX325" s="42"/>
      <c r="AY325" s="45"/>
      <c r="AZ325" s="47"/>
      <c r="BG325" s="43"/>
      <c r="BI325" s="43"/>
      <c r="BJ325" s="43"/>
      <c r="BK325" s="43"/>
      <c r="BL325" s="43"/>
      <c r="BM325" s="43"/>
      <c r="BO325" s="43"/>
      <c r="BR325" s="43"/>
      <c r="BS325" s="43"/>
      <c r="BW325" s="43"/>
      <c r="CC325" s="43"/>
      <c r="CE325" s="43"/>
      <c r="CF325" s="43"/>
      <c r="CH325" s="43"/>
      <c r="CK325" s="43"/>
    </row>
    <row r="326" spans="2:89" x14ac:dyDescent="0.25">
      <c r="B326" s="89"/>
      <c r="C326" s="123"/>
      <c r="D326" s="47"/>
      <c r="E326" s="40"/>
      <c r="F326" s="43"/>
      <c r="G326" s="43"/>
      <c r="H326" s="41"/>
      <c r="I326" s="42"/>
      <c r="J326" s="42"/>
      <c r="K326" s="84"/>
      <c r="L326" s="45"/>
      <c r="M326" s="43"/>
      <c r="N326" s="42"/>
      <c r="O326" s="42"/>
      <c r="P326" s="42"/>
      <c r="Q326" s="42"/>
      <c r="R326" s="42"/>
      <c r="S326" s="42"/>
      <c r="T326" s="42"/>
      <c r="U326" s="67"/>
      <c r="V326" s="220"/>
      <c r="W326" s="48"/>
      <c r="X326" s="49"/>
      <c r="Y326" s="43"/>
      <c r="Z326" s="49"/>
      <c r="AA326" s="43"/>
      <c r="AB326" s="43"/>
      <c r="AC326" s="49"/>
      <c r="AE326" s="43"/>
      <c r="AF326" s="69"/>
      <c r="AI326" s="46"/>
      <c r="AJ326" s="138"/>
      <c r="AK326" s="138"/>
      <c r="AL326" s="138"/>
      <c r="AM326" s="42"/>
      <c r="AO326" s="42"/>
      <c r="AQ326" s="43"/>
      <c r="AR326" s="43"/>
      <c r="AS326" s="44"/>
      <c r="AT326" s="152"/>
      <c r="AU326" s="44"/>
      <c r="AW326" s="42"/>
      <c r="AX326" s="42"/>
      <c r="AY326" s="45"/>
      <c r="AZ326" s="47"/>
      <c r="BG326" s="43"/>
      <c r="BI326" s="43"/>
      <c r="BJ326" s="43"/>
      <c r="BK326" s="43"/>
      <c r="BL326" s="43"/>
      <c r="BM326" s="43"/>
      <c r="BO326" s="43"/>
      <c r="BR326" s="43"/>
      <c r="BS326" s="43"/>
      <c r="BW326" s="43"/>
      <c r="CC326" s="43"/>
      <c r="CE326" s="43"/>
      <c r="CF326" s="43"/>
      <c r="CH326" s="43"/>
      <c r="CK326" s="43"/>
    </row>
    <row r="327" spans="2:89" x14ac:dyDescent="0.25">
      <c r="B327" s="89"/>
      <c r="C327" s="123"/>
      <c r="D327" s="47"/>
      <c r="E327" s="40"/>
      <c r="F327" s="43"/>
      <c r="G327" s="43"/>
      <c r="H327" s="41"/>
      <c r="I327" s="42"/>
      <c r="J327" s="42"/>
      <c r="K327" s="84"/>
      <c r="L327" s="45"/>
      <c r="M327" s="43"/>
      <c r="N327" s="42"/>
      <c r="O327" s="42"/>
      <c r="P327" s="229"/>
      <c r="Q327" s="42"/>
      <c r="R327" s="42"/>
      <c r="S327" s="42"/>
      <c r="T327" s="42"/>
      <c r="U327" s="67"/>
      <c r="V327" s="220"/>
      <c r="W327" s="48"/>
      <c r="X327" s="49"/>
      <c r="Y327" s="43"/>
      <c r="Z327" s="49"/>
      <c r="AA327" s="43"/>
      <c r="AB327" s="43"/>
      <c r="AC327" s="49"/>
      <c r="AE327" s="43"/>
      <c r="AF327" s="69"/>
      <c r="AI327" s="46"/>
      <c r="AJ327" s="138"/>
      <c r="AK327" s="138"/>
      <c r="AL327" s="138"/>
      <c r="AM327" s="42"/>
      <c r="AO327" s="42"/>
      <c r="AQ327" s="43"/>
      <c r="AR327" s="43"/>
      <c r="AS327" s="44"/>
      <c r="AT327" s="44"/>
      <c r="AU327" s="44"/>
      <c r="AW327" s="42"/>
      <c r="AX327" s="42"/>
      <c r="AY327" s="45"/>
      <c r="AZ327" s="47"/>
      <c r="BG327" s="43"/>
      <c r="BI327" s="43"/>
      <c r="BJ327" s="43"/>
      <c r="BK327" s="43"/>
      <c r="BL327" s="43"/>
      <c r="BM327" s="43"/>
      <c r="BO327" s="43"/>
      <c r="BR327" s="43"/>
      <c r="BS327" s="43"/>
      <c r="BW327" s="43"/>
      <c r="CC327" s="43"/>
      <c r="CE327" s="43"/>
      <c r="CF327" s="43"/>
      <c r="CH327" s="43"/>
      <c r="CK327" s="43"/>
    </row>
    <row r="328" spans="2:89" x14ac:dyDescent="0.25">
      <c r="B328" s="89"/>
      <c r="C328" s="123"/>
      <c r="D328" s="47"/>
      <c r="E328" s="40"/>
      <c r="F328" s="43"/>
      <c r="G328" s="43"/>
      <c r="H328" s="41"/>
      <c r="I328" s="42"/>
      <c r="J328" s="42"/>
      <c r="K328" s="84"/>
      <c r="L328" s="45"/>
      <c r="M328" s="43"/>
      <c r="N328" s="42"/>
      <c r="O328" s="42"/>
      <c r="P328" s="229"/>
      <c r="Q328" s="42"/>
      <c r="R328" s="42"/>
      <c r="S328" s="42"/>
      <c r="T328" s="42"/>
      <c r="U328" s="67"/>
      <c r="V328" s="220"/>
      <c r="W328" s="48"/>
      <c r="X328" s="49"/>
      <c r="Y328" s="43"/>
      <c r="Z328" s="49"/>
      <c r="AA328" s="43"/>
      <c r="AB328" s="43"/>
      <c r="AC328" s="49"/>
      <c r="AE328" s="43"/>
      <c r="AF328" s="69"/>
      <c r="AI328" s="46"/>
      <c r="AJ328" s="138"/>
      <c r="AK328" s="138"/>
      <c r="AL328" s="138"/>
      <c r="AM328" s="42"/>
      <c r="AO328" s="42"/>
      <c r="AQ328" s="43"/>
      <c r="AR328" s="43"/>
      <c r="AS328" s="44"/>
      <c r="AT328" s="152"/>
      <c r="AU328" s="44"/>
      <c r="AW328" s="42"/>
      <c r="AX328" s="42"/>
      <c r="AY328" s="45"/>
      <c r="AZ328" s="47"/>
      <c r="BG328" s="43"/>
      <c r="BI328" s="43"/>
      <c r="BJ328" s="43"/>
      <c r="BK328" s="43"/>
      <c r="BL328" s="43"/>
      <c r="BM328" s="43"/>
      <c r="BO328" s="43"/>
      <c r="BR328" s="43"/>
      <c r="BS328" s="43"/>
      <c r="BW328" s="43"/>
      <c r="CC328" s="43"/>
      <c r="CE328" s="43"/>
      <c r="CF328" s="43"/>
      <c r="CH328" s="43"/>
      <c r="CK328" s="43"/>
    </row>
    <row r="329" spans="2:89" x14ac:dyDescent="0.25">
      <c r="B329" s="89"/>
      <c r="C329" s="123"/>
      <c r="D329" s="47"/>
      <c r="E329" s="40"/>
      <c r="F329" s="43"/>
      <c r="G329" s="43"/>
      <c r="H329" s="41"/>
      <c r="I329" s="42"/>
      <c r="J329" s="42"/>
      <c r="K329" s="84"/>
      <c r="L329" s="45"/>
      <c r="M329" s="43"/>
      <c r="N329" s="42"/>
      <c r="O329" s="42"/>
      <c r="P329" s="223"/>
      <c r="Q329" s="42"/>
      <c r="R329" s="42"/>
      <c r="S329" s="42"/>
      <c r="T329" s="42"/>
      <c r="U329" s="67"/>
      <c r="V329" s="220"/>
      <c r="W329" s="48"/>
      <c r="X329" s="49"/>
      <c r="Y329" s="43"/>
      <c r="Z329" s="49"/>
      <c r="AA329" s="43"/>
      <c r="AB329" s="43"/>
      <c r="AC329" s="49"/>
      <c r="AE329" s="43"/>
      <c r="AF329" s="69"/>
      <c r="AI329" s="46"/>
      <c r="AJ329" s="138"/>
      <c r="AK329" s="138"/>
      <c r="AL329" s="138"/>
      <c r="AM329" s="42"/>
      <c r="AO329" s="42"/>
      <c r="AQ329" s="43"/>
      <c r="AR329" s="43"/>
      <c r="AS329" s="44"/>
      <c r="AT329" s="44"/>
      <c r="AU329" s="44"/>
      <c r="AW329" s="42"/>
      <c r="AX329" s="42"/>
      <c r="AY329" s="45"/>
      <c r="AZ329" s="47"/>
      <c r="BG329" s="43"/>
      <c r="BI329" s="43"/>
      <c r="BJ329" s="43"/>
      <c r="BK329" s="43"/>
      <c r="BL329" s="43"/>
      <c r="BM329" s="43"/>
      <c r="BO329" s="43"/>
      <c r="BR329" s="43"/>
      <c r="BS329" s="43"/>
      <c r="BW329" s="43"/>
      <c r="CC329" s="43"/>
      <c r="CE329" s="43"/>
      <c r="CF329" s="43"/>
      <c r="CH329" s="43"/>
      <c r="CK329" s="43"/>
    </row>
    <row r="330" spans="2:89" x14ac:dyDescent="0.25">
      <c r="B330" s="89"/>
      <c r="C330" s="123"/>
      <c r="D330" s="47"/>
      <c r="E330" s="40"/>
      <c r="F330" s="43"/>
      <c r="G330" s="43"/>
      <c r="H330" s="41"/>
      <c r="I330" s="42"/>
      <c r="J330" s="42"/>
      <c r="K330" s="84"/>
      <c r="L330" s="45"/>
      <c r="M330" s="43"/>
      <c r="N330" s="42"/>
      <c r="O330" s="42"/>
      <c r="P330" s="223"/>
      <c r="Q330" s="42"/>
      <c r="R330" s="42"/>
      <c r="S330" s="42"/>
      <c r="T330" s="42"/>
      <c r="U330" s="67"/>
      <c r="V330" s="220"/>
      <c r="W330" s="48"/>
      <c r="X330" s="49"/>
      <c r="Y330" s="43"/>
      <c r="Z330" s="49"/>
      <c r="AA330" s="43"/>
      <c r="AB330" s="43"/>
      <c r="AC330" s="49"/>
      <c r="AE330" s="43"/>
      <c r="AF330" s="69"/>
      <c r="AI330" s="46"/>
      <c r="AJ330" s="138"/>
      <c r="AK330" s="138"/>
      <c r="AL330" s="138"/>
      <c r="AM330" s="42"/>
      <c r="AO330" s="42"/>
      <c r="AQ330" s="43"/>
      <c r="AR330" s="43"/>
      <c r="AS330" s="44"/>
      <c r="AT330" s="152"/>
      <c r="AU330" s="44"/>
      <c r="AW330" s="42"/>
      <c r="AX330" s="42"/>
      <c r="AY330" s="45"/>
      <c r="AZ330" s="47"/>
      <c r="BG330" s="43"/>
      <c r="BI330" s="43"/>
      <c r="BJ330" s="43"/>
      <c r="BK330" s="43"/>
      <c r="BL330" s="43"/>
      <c r="BM330" s="43"/>
      <c r="BO330" s="43"/>
      <c r="BR330" s="43"/>
      <c r="BS330" s="43"/>
      <c r="BW330" s="43"/>
      <c r="CC330" s="43"/>
      <c r="CE330" s="43"/>
      <c r="CF330" s="43"/>
      <c r="CH330" s="43"/>
      <c r="CK330" s="43"/>
    </row>
    <row r="331" spans="2:89" x14ac:dyDescent="0.25">
      <c r="B331" s="89"/>
      <c r="C331" s="123"/>
      <c r="D331" s="47"/>
      <c r="E331" s="40"/>
      <c r="F331" s="43"/>
      <c r="G331" s="43"/>
      <c r="H331" s="41"/>
      <c r="I331" s="42"/>
      <c r="J331" s="42"/>
      <c r="K331" s="84"/>
      <c r="L331" s="45"/>
      <c r="M331" s="43"/>
      <c r="N331" s="42"/>
      <c r="O331" s="42"/>
      <c r="P331" s="223"/>
      <c r="Q331" s="42"/>
      <c r="R331" s="42"/>
      <c r="S331" s="42"/>
      <c r="T331" s="42"/>
      <c r="U331" s="67"/>
      <c r="V331" s="220"/>
      <c r="W331" s="48"/>
      <c r="X331" s="49"/>
      <c r="Y331" s="43"/>
      <c r="Z331" s="49"/>
      <c r="AA331" s="43"/>
      <c r="AB331" s="43"/>
      <c r="AC331" s="49"/>
      <c r="AE331" s="43"/>
      <c r="AF331" s="69"/>
      <c r="AI331" s="46"/>
      <c r="AJ331" s="138"/>
      <c r="AK331" s="138"/>
      <c r="AL331" s="138"/>
      <c r="AM331" s="42"/>
      <c r="AO331" s="42"/>
      <c r="AQ331" s="43"/>
      <c r="AR331" s="43"/>
      <c r="AS331" s="44"/>
      <c r="AT331" s="44"/>
      <c r="AU331" s="44"/>
      <c r="AW331" s="42"/>
      <c r="AX331" s="42"/>
      <c r="AY331" s="45"/>
      <c r="AZ331" s="47"/>
      <c r="BG331" s="43"/>
      <c r="BI331" s="43"/>
      <c r="BJ331" s="43"/>
      <c r="BK331" s="43"/>
      <c r="BL331" s="43"/>
      <c r="BM331" s="43"/>
      <c r="BO331" s="43"/>
      <c r="BR331" s="43"/>
      <c r="BS331" s="43"/>
      <c r="BW331" s="43"/>
      <c r="CC331" s="43"/>
      <c r="CE331" s="43"/>
      <c r="CF331" s="43"/>
      <c r="CH331" s="43"/>
      <c r="CK331" s="43"/>
    </row>
    <row r="332" spans="2:89" x14ac:dyDescent="0.25">
      <c r="B332" s="89"/>
      <c r="C332" s="123"/>
      <c r="D332" s="47"/>
      <c r="E332" s="40"/>
      <c r="F332" s="43"/>
      <c r="G332" s="43"/>
      <c r="H332" s="41"/>
      <c r="I332" s="42"/>
      <c r="J332" s="42"/>
      <c r="K332" s="84"/>
      <c r="L332" s="45"/>
      <c r="M332" s="43"/>
      <c r="N332" s="42"/>
      <c r="O332" s="42"/>
      <c r="P332" s="223"/>
      <c r="Q332" s="42"/>
      <c r="R332" s="42"/>
      <c r="S332" s="42"/>
      <c r="T332" s="42"/>
      <c r="U332" s="67"/>
      <c r="V332" s="220"/>
      <c r="W332" s="48"/>
      <c r="X332" s="49"/>
      <c r="Y332" s="43"/>
      <c r="Z332" s="49"/>
      <c r="AA332" s="43"/>
      <c r="AB332" s="43"/>
      <c r="AC332" s="49"/>
      <c r="AE332" s="43"/>
      <c r="AF332" s="69"/>
      <c r="AI332" s="46"/>
      <c r="AJ332" s="138"/>
      <c r="AK332" s="138"/>
      <c r="AL332" s="138"/>
      <c r="AM332" s="42"/>
      <c r="AO332" s="42"/>
      <c r="AQ332" s="43"/>
      <c r="AR332" s="43"/>
      <c r="AS332" s="44"/>
      <c r="AT332" s="152"/>
      <c r="AU332" s="44"/>
      <c r="AW332" s="42"/>
      <c r="AX332" s="42"/>
      <c r="AY332" s="45"/>
      <c r="AZ332" s="47"/>
      <c r="BG332" s="43"/>
      <c r="BI332" s="43"/>
      <c r="BJ332" s="43"/>
      <c r="BK332" s="43"/>
      <c r="BL332" s="43"/>
      <c r="BM332" s="43"/>
      <c r="BO332" s="43"/>
      <c r="BR332" s="43"/>
      <c r="BS332" s="43"/>
      <c r="BW332" s="43"/>
      <c r="CC332" s="43"/>
      <c r="CE332" s="43"/>
      <c r="CF332" s="43"/>
      <c r="CH332" s="43"/>
      <c r="CK332" s="43"/>
    </row>
    <row r="333" spans="2:89" x14ac:dyDescent="0.25">
      <c r="B333" s="89"/>
      <c r="C333" s="123"/>
      <c r="D333" s="47"/>
      <c r="E333" s="40"/>
      <c r="F333" s="43"/>
      <c r="G333" s="43"/>
      <c r="H333" s="41"/>
      <c r="I333" s="42"/>
      <c r="J333" s="42"/>
      <c r="K333" s="84"/>
      <c r="L333" s="45"/>
      <c r="M333" s="43"/>
      <c r="N333" s="42"/>
      <c r="O333" s="42"/>
      <c r="P333" s="200"/>
      <c r="Q333" s="42"/>
      <c r="R333" s="42"/>
      <c r="S333" s="42"/>
      <c r="T333" s="42"/>
      <c r="U333" s="67"/>
      <c r="V333" s="220"/>
      <c r="W333" s="48"/>
      <c r="X333" s="49"/>
      <c r="Y333" s="43"/>
      <c r="Z333" s="49"/>
      <c r="AA333" s="43"/>
      <c r="AB333" s="43"/>
      <c r="AC333" s="49"/>
      <c r="AE333" s="43"/>
      <c r="AF333" s="69"/>
      <c r="AI333" s="46"/>
      <c r="AJ333" s="138"/>
      <c r="AK333" s="138"/>
      <c r="AL333" s="138"/>
      <c r="AM333" s="42"/>
      <c r="AO333" s="42"/>
      <c r="AQ333" s="43"/>
      <c r="AR333" s="43"/>
      <c r="AS333" s="44"/>
      <c r="AT333" s="44"/>
      <c r="AU333" s="44"/>
      <c r="AW333" s="42"/>
      <c r="AX333" s="42"/>
      <c r="AY333" s="45"/>
      <c r="AZ333" s="47"/>
      <c r="BG333" s="43"/>
      <c r="BI333" s="43"/>
      <c r="BJ333" s="43"/>
      <c r="BK333" s="43"/>
      <c r="BL333" s="43"/>
      <c r="BM333" s="43"/>
      <c r="BO333" s="43"/>
      <c r="BR333" s="43"/>
      <c r="BS333" s="43"/>
      <c r="BW333" s="43"/>
      <c r="CC333" s="43"/>
      <c r="CE333" s="43"/>
      <c r="CF333" s="43"/>
      <c r="CH333" s="43"/>
      <c r="CK333" s="43"/>
    </row>
    <row r="334" spans="2:89" x14ac:dyDescent="0.25">
      <c r="B334" s="89"/>
      <c r="C334" s="123"/>
      <c r="D334" s="47"/>
      <c r="E334" s="40"/>
      <c r="F334" s="43"/>
      <c r="G334" s="43"/>
      <c r="H334" s="41"/>
      <c r="I334" s="42"/>
      <c r="J334" s="42"/>
      <c r="K334" s="84"/>
      <c r="L334" s="45"/>
      <c r="M334" s="43"/>
      <c r="N334" s="42"/>
      <c r="O334" s="42"/>
      <c r="P334" s="229"/>
      <c r="Q334" s="42"/>
      <c r="R334" s="42"/>
      <c r="S334" s="42"/>
      <c r="T334" s="42"/>
      <c r="U334" s="67"/>
      <c r="V334" s="220"/>
      <c r="W334" s="48"/>
      <c r="X334" s="49"/>
      <c r="Y334" s="43"/>
      <c r="Z334" s="49"/>
      <c r="AA334" s="43"/>
      <c r="AB334" s="43"/>
      <c r="AC334" s="49"/>
      <c r="AE334" s="43"/>
      <c r="AF334" s="69"/>
      <c r="AI334" s="46"/>
      <c r="AJ334" s="138"/>
      <c r="AK334" s="138"/>
      <c r="AL334" s="138"/>
      <c r="AM334" s="42"/>
      <c r="AO334" s="42"/>
      <c r="AQ334" s="43"/>
      <c r="AR334" s="43"/>
      <c r="AS334" s="44"/>
      <c r="AT334" s="152"/>
      <c r="AU334" s="73"/>
      <c r="AW334" s="42"/>
      <c r="AX334" s="42"/>
      <c r="AY334" s="45"/>
      <c r="AZ334" s="47"/>
      <c r="BG334" s="43"/>
      <c r="BI334" s="43"/>
      <c r="BJ334" s="43"/>
      <c r="BK334" s="43"/>
      <c r="BL334" s="43"/>
      <c r="BM334" s="43"/>
      <c r="BO334" s="43"/>
      <c r="BR334" s="43"/>
      <c r="BS334" s="43"/>
      <c r="BW334" s="43"/>
      <c r="CC334" s="43"/>
      <c r="CE334" s="43"/>
      <c r="CF334" s="43"/>
      <c r="CH334" s="43"/>
      <c r="CK334" s="43"/>
    </row>
    <row r="335" spans="2:89" x14ac:dyDescent="0.25">
      <c r="B335" s="89"/>
      <c r="C335" s="123"/>
      <c r="D335" s="47"/>
      <c r="E335" s="40"/>
      <c r="F335" s="43"/>
      <c r="G335" s="43"/>
      <c r="H335" s="41"/>
      <c r="I335" s="42"/>
      <c r="J335" s="42"/>
      <c r="K335" s="84"/>
      <c r="L335" s="45"/>
      <c r="M335" s="43"/>
      <c r="N335" s="42"/>
      <c r="O335" s="42"/>
      <c r="P335" s="42"/>
      <c r="Q335" s="42"/>
      <c r="R335" s="42"/>
      <c r="S335" s="42"/>
      <c r="T335" s="42"/>
      <c r="U335" s="67"/>
      <c r="V335" s="222"/>
      <c r="W335" s="48"/>
      <c r="X335" s="49"/>
      <c r="Y335" s="43"/>
      <c r="Z335" s="49"/>
      <c r="AA335" s="43"/>
      <c r="AB335" s="43"/>
      <c r="AC335" s="49"/>
      <c r="AE335" s="43"/>
      <c r="AF335" s="69"/>
      <c r="AI335" s="46"/>
      <c r="AJ335" s="138"/>
      <c r="AK335" s="138"/>
      <c r="AL335" s="138"/>
      <c r="AM335" s="42"/>
      <c r="AO335" s="42"/>
      <c r="AQ335" s="43"/>
      <c r="AR335" s="43"/>
      <c r="AS335" s="44"/>
      <c r="AT335" s="44"/>
      <c r="AU335" s="44"/>
      <c r="AW335" s="42"/>
      <c r="AX335" s="42"/>
      <c r="AY335" s="45"/>
      <c r="AZ335" s="47"/>
      <c r="BG335" s="43"/>
      <c r="BI335" s="43"/>
      <c r="BJ335" s="43"/>
      <c r="BK335" s="43"/>
      <c r="BL335" s="43"/>
      <c r="BM335" s="43"/>
      <c r="BO335" s="43"/>
      <c r="BR335" s="43"/>
      <c r="BS335" s="43"/>
      <c r="BW335" s="43"/>
      <c r="CC335" s="43"/>
      <c r="CE335" s="43"/>
      <c r="CF335" s="43"/>
      <c r="CH335" s="43"/>
      <c r="CK335" s="43"/>
    </row>
    <row r="336" spans="2:89" x14ac:dyDescent="0.25">
      <c r="B336" s="89"/>
      <c r="C336" s="123"/>
      <c r="D336" s="47"/>
      <c r="E336" s="40"/>
      <c r="F336" s="43"/>
      <c r="G336" s="43"/>
      <c r="H336" s="41"/>
      <c r="I336" s="42"/>
      <c r="J336" s="42"/>
      <c r="K336" s="84"/>
      <c r="L336" s="45"/>
      <c r="M336" s="43"/>
      <c r="N336" s="42"/>
      <c r="O336" s="42"/>
      <c r="P336" s="229"/>
      <c r="Q336" s="42"/>
      <c r="R336" s="42"/>
      <c r="S336" s="42"/>
      <c r="T336" s="42"/>
      <c r="U336" s="67"/>
      <c r="V336" s="220"/>
      <c r="W336" s="48"/>
      <c r="X336" s="49"/>
      <c r="Y336" s="43"/>
      <c r="Z336" s="49"/>
      <c r="AA336" s="43"/>
      <c r="AB336" s="43"/>
      <c r="AC336" s="49"/>
      <c r="AE336" s="43"/>
      <c r="AF336" s="69"/>
      <c r="AI336" s="46"/>
      <c r="AJ336" s="138"/>
      <c r="AK336" s="138"/>
      <c r="AL336" s="138"/>
      <c r="AM336" s="42"/>
      <c r="AO336" s="42"/>
      <c r="AQ336" s="43"/>
      <c r="AR336" s="43"/>
      <c r="AS336" s="44"/>
      <c r="AT336" s="152"/>
      <c r="AU336" s="44"/>
      <c r="AW336" s="42"/>
      <c r="AX336" s="42"/>
      <c r="AY336" s="45"/>
      <c r="AZ336" s="47"/>
      <c r="BG336" s="43"/>
      <c r="BI336" s="43"/>
      <c r="BJ336" s="43"/>
      <c r="BK336" s="43"/>
      <c r="BL336" s="43"/>
      <c r="BM336" s="43"/>
      <c r="BO336" s="43"/>
      <c r="BR336" s="43"/>
      <c r="BS336" s="43"/>
      <c r="BW336" s="43"/>
      <c r="CC336" s="43"/>
      <c r="CE336" s="43"/>
      <c r="CF336" s="43"/>
      <c r="CH336" s="43"/>
      <c r="CK336" s="43"/>
    </row>
    <row r="337" spans="2:89" x14ac:dyDescent="0.25">
      <c r="B337" s="89"/>
      <c r="C337" s="123"/>
      <c r="D337" s="47"/>
      <c r="E337" s="40"/>
      <c r="F337" s="43"/>
      <c r="G337" s="43"/>
      <c r="H337" s="41"/>
      <c r="I337" s="42"/>
      <c r="J337" s="42"/>
      <c r="K337" s="84"/>
      <c r="L337" s="45"/>
      <c r="M337" s="43"/>
      <c r="N337" s="42"/>
      <c r="O337" s="42"/>
      <c r="P337" s="42"/>
      <c r="Q337" s="42"/>
      <c r="R337" s="42"/>
      <c r="S337" s="42"/>
      <c r="T337" s="42"/>
      <c r="U337" s="67"/>
      <c r="V337" s="220"/>
      <c r="W337" s="48"/>
      <c r="X337" s="49"/>
      <c r="Y337" s="43"/>
      <c r="Z337" s="49"/>
      <c r="AA337" s="43"/>
      <c r="AB337" s="43"/>
      <c r="AC337" s="49"/>
      <c r="AE337" s="43"/>
      <c r="AF337" s="69"/>
      <c r="AI337" s="46"/>
      <c r="AJ337" s="138"/>
      <c r="AK337" s="138"/>
      <c r="AL337" s="138"/>
      <c r="AM337" s="42"/>
      <c r="AO337" s="42"/>
      <c r="AQ337" s="43"/>
      <c r="AR337" s="43"/>
      <c r="AS337" s="44"/>
      <c r="AT337" s="44"/>
      <c r="AU337" s="44"/>
      <c r="AW337" s="42"/>
      <c r="AX337" s="42"/>
      <c r="AY337" s="45"/>
      <c r="AZ337" s="47"/>
      <c r="BG337" s="43"/>
      <c r="BI337" s="43"/>
      <c r="BJ337" s="43"/>
      <c r="BK337" s="43"/>
      <c r="BL337" s="43"/>
      <c r="BM337" s="43"/>
      <c r="BO337" s="43"/>
      <c r="BR337" s="43"/>
      <c r="BS337" s="43"/>
      <c r="BW337" s="43"/>
      <c r="CC337" s="43"/>
      <c r="CE337" s="43"/>
      <c r="CF337" s="43"/>
      <c r="CH337" s="43"/>
      <c r="CK337" s="43"/>
    </row>
    <row r="338" spans="2:89" x14ac:dyDescent="0.25">
      <c r="B338" s="89"/>
      <c r="C338" s="123"/>
      <c r="D338" s="47"/>
      <c r="E338" s="40"/>
      <c r="F338" s="43"/>
      <c r="G338" s="43"/>
      <c r="H338" s="41"/>
      <c r="I338" s="42"/>
      <c r="J338" s="42"/>
      <c r="K338" s="84"/>
      <c r="L338" s="45"/>
      <c r="M338" s="43"/>
      <c r="N338" s="42"/>
      <c r="O338" s="42"/>
      <c r="P338" s="229"/>
      <c r="Q338" s="42"/>
      <c r="R338" s="42"/>
      <c r="S338" s="42"/>
      <c r="T338" s="42"/>
      <c r="U338" s="67"/>
      <c r="V338" s="220"/>
      <c r="W338" s="48"/>
      <c r="X338" s="49"/>
      <c r="Y338" s="43"/>
      <c r="Z338" s="49"/>
      <c r="AA338" s="43"/>
      <c r="AB338" s="43"/>
      <c r="AC338" s="49"/>
      <c r="AE338" s="43"/>
      <c r="AF338" s="69"/>
      <c r="AI338" s="46"/>
      <c r="AJ338" s="138"/>
      <c r="AK338" s="138"/>
      <c r="AL338" s="138"/>
      <c r="AM338" s="42"/>
      <c r="AO338" s="42"/>
      <c r="AQ338" s="43"/>
      <c r="AR338" s="43"/>
      <c r="AS338" s="44"/>
      <c r="AT338" s="152"/>
      <c r="AU338" s="44"/>
      <c r="AW338" s="42"/>
      <c r="AX338" s="42"/>
      <c r="AY338" s="45"/>
      <c r="AZ338" s="47"/>
      <c r="BG338" s="43"/>
      <c r="BI338" s="43"/>
      <c r="BJ338" s="43"/>
      <c r="BK338" s="43"/>
      <c r="BL338" s="43"/>
      <c r="BM338" s="43"/>
      <c r="BO338" s="43"/>
      <c r="BR338" s="43"/>
      <c r="BS338" s="43"/>
      <c r="BW338" s="43"/>
      <c r="CC338" s="43"/>
      <c r="CE338" s="43"/>
      <c r="CF338" s="43"/>
      <c r="CH338" s="43"/>
      <c r="CK338" s="43"/>
    </row>
    <row r="339" spans="2:89" x14ac:dyDescent="0.25">
      <c r="B339" s="89"/>
      <c r="C339" s="123"/>
      <c r="D339" s="47"/>
      <c r="E339" s="40"/>
      <c r="F339" s="43"/>
      <c r="G339" s="43"/>
      <c r="H339" s="41"/>
      <c r="I339" s="42"/>
      <c r="J339" s="42"/>
      <c r="K339" s="84"/>
      <c r="L339" s="45"/>
      <c r="M339" s="43"/>
      <c r="N339" s="42"/>
      <c r="O339" s="42"/>
      <c r="P339" s="223"/>
      <c r="Q339" s="42"/>
      <c r="R339" s="42"/>
      <c r="S339" s="42"/>
      <c r="T339" s="42"/>
      <c r="U339" s="67"/>
      <c r="V339" s="220"/>
      <c r="W339" s="48"/>
      <c r="X339" s="49"/>
      <c r="Y339" s="43"/>
      <c r="Z339" s="49"/>
      <c r="AA339" s="43"/>
      <c r="AB339" s="43"/>
      <c r="AC339" s="49"/>
      <c r="AE339" s="43"/>
      <c r="AF339" s="69"/>
      <c r="AI339" s="46"/>
      <c r="AJ339" s="138"/>
      <c r="AK339" s="138"/>
      <c r="AL339" s="138"/>
      <c r="AM339" s="42"/>
      <c r="AO339" s="42"/>
      <c r="AQ339" s="43"/>
      <c r="AR339" s="43"/>
      <c r="AS339" s="44"/>
      <c r="AT339" s="44"/>
      <c r="AU339" s="44"/>
      <c r="AW339" s="42"/>
      <c r="AX339" s="42"/>
      <c r="AY339" s="45"/>
      <c r="AZ339" s="47"/>
      <c r="BG339" s="43"/>
      <c r="BI339" s="43"/>
      <c r="BJ339" s="43"/>
      <c r="BK339" s="43"/>
      <c r="BL339" s="43"/>
      <c r="BM339" s="43"/>
      <c r="BO339" s="43"/>
      <c r="BR339" s="43"/>
      <c r="BS339" s="43"/>
      <c r="BW339" s="43"/>
      <c r="CC339" s="43"/>
      <c r="CE339" s="43"/>
      <c r="CF339" s="43"/>
      <c r="CH339" s="43"/>
      <c r="CK339" s="43"/>
    </row>
    <row r="340" spans="2:89" ht="15.75" customHeight="1" x14ac:dyDescent="0.25">
      <c r="B340" s="89"/>
      <c r="C340" s="123"/>
      <c r="D340" s="47"/>
      <c r="E340" s="40"/>
      <c r="F340" s="43"/>
      <c r="G340" s="43"/>
      <c r="H340" s="41"/>
      <c r="I340" s="42"/>
      <c r="J340" s="42"/>
      <c r="K340" s="84"/>
      <c r="L340" s="45"/>
      <c r="M340" s="43"/>
      <c r="N340" s="42"/>
      <c r="O340" s="42"/>
      <c r="P340" s="229"/>
      <c r="Q340" s="42"/>
      <c r="R340" s="42"/>
      <c r="S340" s="42"/>
      <c r="T340" s="42"/>
      <c r="U340" s="67"/>
      <c r="V340" s="220"/>
      <c r="W340" s="48"/>
      <c r="X340" s="49"/>
      <c r="Y340" s="43"/>
      <c r="Z340" s="49"/>
      <c r="AA340" s="43"/>
      <c r="AB340" s="43"/>
      <c r="AC340" s="49"/>
      <c r="AE340" s="43"/>
      <c r="AF340" s="69"/>
      <c r="AI340" s="46"/>
      <c r="AJ340" s="138"/>
      <c r="AK340" s="138"/>
      <c r="AL340" s="138"/>
      <c r="AM340" s="42"/>
      <c r="AO340" s="42"/>
      <c r="AQ340" s="43"/>
      <c r="AR340" s="43"/>
      <c r="AS340" s="44"/>
      <c r="AT340" s="152"/>
      <c r="AU340" s="44"/>
      <c r="AW340" s="42"/>
      <c r="AX340" s="42"/>
      <c r="AY340" s="45"/>
      <c r="AZ340" s="47"/>
      <c r="BG340" s="43"/>
      <c r="BI340" s="43"/>
      <c r="BJ340" s="43"/>
      <c r="BK340" s="43"/>
      <c r="BL340" s="43"/>
      <c r="BM340" s="43"/>
      <c r="BO340" s="43"/>
      <c r="BR340" s="43"/>
      <c r="BS340" s="43"/>
      <c r="BW340" s="43"/>
      <c r="CC340" s="43"/>
      <c r="CE340" s="43"/>
      <c r="CF340" s="43"/>
      <c r="CH340" s="43"/>
      <c r="CK340" s="43"/>
    </row>
    <row r="341" spans="2:89" ht="15.75" customHeight="1" x14ac:dyDescent="0.25">
      <c r="B341" s="89"/>
      <c r="C341" s="123"/>
      <c r="D341" s="47"/>
      <c r="E341" s="40"/>
      <c r="F341" s="43"/>
      <c r="G341" s="43"/>
      <c r="H341" s="41"/>
      <c r="I341" s="42"/>
      <c r="J341" s="42"/>
      <c r="K341" s="84"/>
      <c r="L341" s="45"/>
      <c r="M341" s="43"/>
      <c r="N341" s="42"/>
      <c r="O341" s="42"/>
      <c r="P341" s="223"/>
      <c r="Q341" s="42"/>
      <c r="R341" s="42"/>
      <c r="S341" s="42"/>
      <c r="T341" s="42"/>
      <c r="U341" s="67"/>
      <c r="V341" s="220"/>
      <c r="W341" s="48"/>
      <c r="X341" s="49"/>
      <c r="Y341" s="43"/>
      <c r="Z341" s="49"/>
      <c r="AA341" s="43"/>
      <c r="AB341" s="43"/>
      <c r="AC341" s="49"/>
      <c r="AE341" s="43"/>
      <c r="AF341" s="69"/>
      <c r="AI341" s="46"/>
      <c r="AJ341" s="138"/>
      <c r="AK341" s="138"/>
      <c r="AL341" s="138"/>
      <c r="AM341" s="42"/>
      <c r="AO341" s="42"/>
      <c r="AQ341" s="43"/>
      <c r="AR341" s="43"/>
      <c r="AS341" s="44"/>
      <c r="AT341" s="44"/>
      <c r="AU341" s="44"/>
      <c r="AW341" s="42"/>
      <c r="AX341" s="42"/>
      <c r="AY341" s="45"/>
      <c r="AZ341" s="47"/>
      <c r="BG341" s="43"/>
      <c r="BI341" s="43"/>
      <c r="BJ341" s="43"/>
      <c r="BK341" s="43"/>
      <c r="BL341" s="43"/>
      <c r="BM341" s="43"/>
      <c r="BO341" s="43"/>
      <c r="BR341" s="43"/>
      <c r="BS341" s="43"/>
      <c r="BW341" s="43"/>
      <c r="CC341" s="43"/>
      <c r="CE341" s="43"/>
      <c r="CF341" s="43"/>
      <c r="CH341" s="43"/>
      <c r="CK341" s="43"/>
    </row>
    <row r="342" spans="2:89" ht="15.75" customHeight="1" x14ac:dyDescent="0.25">
      <c r="B342" s="89"/>
      <c r="C342" s="123"/>
      <c r="D342" s="47"/>
      <c r="E342" s="40"/>
      <c r="F342" s="43"/>
      <c r="G342" s="43"/>
      <c r="H342" s="41"/>
      <c r="I342" s="42"/>
      <c r="J342" s="42"/>
      <c r="K342" s="84"/>
      <c r="L342" s="45"/>
      <c r="M342" s="43"/>
      <c r="N342" s="42"/>
      <c r="O342" s="42"/>
      <c r="P342" s="229"/>
      <c r="Q342" s="42"/>
      <c r="R342" s="42"/>
      <c r="S342" s="42"/>
      <c r="T342" s="42"/>
      <c r="U342" s="67"/>
      <c r="V342" s="220"/>
      <c r="W342" s="48"/>
      <c r="X342" s="49"/>
      <c r="Y342" s="43"/>
      <c r="Z342" s="49"/>
      <c r="AA342" s="43"/>
      <c r="AB342" s="43"/>
      <c r="AC342" s="49"/>
      <c r="AE342" s="43"/>
      <c r="AF342" s="69"/>
      <c r="AI342" s="46"/>
      <c r="AJ342" s="138"/>
      <c r="AK342" s="138"/>
      <c r="AL342" s="138"/>
      <c r="AM342" s="42"/>
      <c r="AO342" s="42"/>
      <c r="AQ342" s="43"/>
      <c r="AR342" s="43"/>
      <c r="AS342" s="44"/>
      <c r="AT342" s="152"/>
      <c r="AU342" s="44"/>
      <c r="AW342" s="42"/>
      <c r="AX342" s="42"/>
      <c r="AY342" s="45"/>
      <c r="AZ342" s="47"/>
      <c r="BG342" s="43"/>
      <c r="BI342" s="43"/>
      <c r="BJ342" s="43"/>
      <c r="BK342" s="43"/>
      <c r="BL342" s="43"/>
      <c r="BM342" s="43"/>
      <c r="BO342" s="43"/>
      <c r="BR342" s="43"/>
      <c r="BS342" s="43"/>
      <c r="BW342" s="43"/>
      <c r="CC342" s="43"/>
      <c r="CE342" s="43"/>
      <c r="CF342" s="43"/>
      <c r="CH342" s="43"/>
      <c r="CK342" s="43"/>
    </row>
    <row r="343" spans="2:89" ht="15.75" customHeight="1" x14ac:dyDescent="0.25">
      <c r="B343" s="89"/>
      <c r="C343" s="123"/>
      <c r="D343" s="47"/>
      <c r="E343" s="40"/>
      <c r="F343" s="43"/>
      <c r="G343" s="43"/>
      <c r="H343" s="41"/>
      <c r="I343" s="42"/>
      <c r="J343" s="42"/>
      <c r="K343" s="84"/>
      <c r="L343" s="45"/>
      <c r="M343" s="43"/>
      <c r="N343" s="42"/>
      <c r="O343" s="42"/>
      <c r="P343" s="229"/>
      <c r="Q343" s="42"/>
      <c r="R343" s="42"/>
      <c r="S343" s="42"/>
      <c r="T343" s="42"/>
      <c r="U343" s="67"/>
      <c r="V343" s="220"/>
      <c r="W343" s="48"/>
      <c r="X343" s="49"/>
      <c r="Y343" s="43"/>
      <c r="Z343" s="49"/>
      <c r="AA343" s="43"/>
      <c r="AB343" s="43"/>
      <c r="AC343" s="49"/>
      <c r="AE343" s="43"/>
      <c r="AF343" s="69"/>
      <c r="AI343" s="46"/>
      <c r="AJ343" s="138"/>
      <c r="AK343" s="138"/>
      <c r="AL343" s="138"/>
      <c r="AM343" s="42"/>
      <c r="AO343" s="42"/>
      <c r="AQ343" s="43"/>
      <c r="AR343" s="43"/>
      <c r="AS343" s="44"/>
      <c r="AT343" s="44"/>
      <c r="AU343" s="44"/>
      <c r="AW343" s="42"/>
      <c r="AX343" s="42"/>
      <c r="AY343" s="45"/>
      <c r="AZ343" s="47"/>
      <c r="BG343" s="43"/>
      <c r="BI343" s="43"/>
      <c r="BJ343" s="43"/>
      <c r="BK343" s="43"/>
      <c r="BL343" s="43"/>
      <c r="BM343" s="43"/>
      <c r="BO343" s="43"/>
      <c r="BR343" s="43"/>
      <c r="BS343" s="43"/>
      <c r="BW343" s="43"/>
      <c r="CC343" s="43"/>
      <c r="CE343" s="43"/>
      <c r="CF343" s="43"/>
      <c r="CH343" s="43"/>
      <c r="CK343" s="43"/>
    </row>
    <row r="344" spans="2:89" ht="15.75" customHeight="1" x14ac:dyDescent="0.25">
      <c r="B344" s="89"/>
      <c r="C344" s="123"/>
      <c r="D344" s="47"/>
      <c r="E344" s="40"/>
      <c r="F344" s="43"/>
      <c r="G344" s="43"/>
      <c r="H344" s="41"/>
      <c r="I344" s="42"/>
      <c r="J344" s="42"/>
      <c r="K344" s="84"/>
      <c r="L344" s="45"/>
      <c r="M344" s="43"/>
      <c r="N344" s="42"/>
      <c r="O344" s="42"/>
      <c r="P344" s="223"/>
      <c r="Q344" s="42"/>
      <c r="R344" s="42"/>
      <c r="S344" s="42"/>
      <c r="T344" s="42"/>
      <c r="U344" s="67"/>
      <c r="V344" s="220"/>
      <c r="W344" s="48"/>
      <c r="X344" s="49"/>
      <c r="Y344" s="43"/>
      <c r="Z344" s="49"/>
      <c r="AA344" s="43"/>
      <c r="AB344" s="43"/>
      <c r="AC344" s="49"/>
      <c r="AE344" s="43"/>
      <c r="AF344" s="69"/>
      <c r="AI344" s="46"/>
      <c r="AJ344" s="138"/>
      <c r="AK344" s="138"/>
      <c r="AL344" s="138"/>
      <c r="AM344" s="42"/>
      <c r="AO344" s="42"/>
      <c r="AQ344" s="43"/>
      <c r="AR344" s="43"/>
      <c r="AS344" s="44"/>
      <c r="AT344" s="44"/>
      <c r="AU344" s="44"/>
      <c r="AW344" s="42"/>
      <c r="AX344" s="42"/>
      <c r="AY344" s="45"/>
      <c r="AZ344" s="47"/>
      <c r="BG344" s="43"/>
      <c r="BI344" s="43"/>
      <c r="BJ344" s="43"/>
      <c r="BK344" s="43"/>
      <c r="BL344" s="43"/>
      <c r="BM344" s="43"/>
      <c r="BO344" s="43"/>
      <c r="BR344" s="43"/>
      <c r="BS344" s="43"/>
      <c r="BW344" s="43"/>
      <c r="CC344" s="43"/>
      <c r="CE344" s="43"/>
      <c r="CF344" s="43"/>
      <c r="CH344" s="43"/>
      <c r="CK344" s="43"/>
    </row>
    <row r="345" spans="2:89" ht="15.75" customHeight="1" x14ac:dyDescent="0.25">
      <c r="B345" s="89"/>
      <c r="C345" s="123"/>
      <c r="D345" s="47"/>
      <c r="E345" s="40"/>
      <c r="F345" s="43"/>
      <c r="G345" s="43"/>
      <c r="H345" s="41"/>
      <c r="I345" s="42"/>
      <c r="J345" s="42"/>
      <c r="K345" s="84"/>
      <c r="L345" s="45"/>
      <c r="M345" s="43"/>
      <c r="N345" s="42"/>
      <c r="O345" s="42"/>
      <c r="P345" s="223"/>
      <c r="Q345" s="42"/>
      <c r="R345" s="42"/>
      <c r="S345" s="42"/>
      <c r="T345" s="42"/>
      <c r="U345" s="67"/>
      <c r="V345" s="220"/>
      <c r="W345" s="48"/>
      <c r="X345" s="49"/>
      <c r="Y345" s="43"/>
      <c r="Z345" s="49"/>
      <c r="AA345" s="43"/>
      <c r="AB345" s="43"/>
      <c r="AC345" s="49"/>
      <c r="AE345" s="43"/>
      <c r="AF345" s="69"/>
      <c r="AI345" s="46"/>
      <c r="AJ345" s="138"/>
      <c r="AK345" s="138"/>
      <c r="AL345" s="138"/>
      <c r="AM345" s="42"/>
      <c r="AO345" s="42"/>
      <c r="AQ345" s="43"/>
      <c r="AR345" s="43"/>
      <c r="AS345" s="44"/>
      <c r="AT345" s="152"/>
      <c r="AU345" s="44"/>
      <c r="AW345" s="42"/>
      <c r="AX345" s="42"/>
      <c r="AY345" s="45"/>
      <c r="AZ345" s="47"/>
      <c r="BG345" s="43"/>
      <c r="BI345" s="43"/>
      <c r="BJ345" s="43"/>
      <c r="BK345" s="43"/>
      <c r="BL345" s="43"/>
      <c r="BM345" s="43"/>
      <c r="BO345" s="43"/>
      <c r="BR345" s="43"/>
      <c r="BS345" s="43"/>
      <c r="BW345" s="43"/>
      <c r="CC345" s="43"/>
      <c r="CE345" s="43"/>
      <c r="CF345" s="43"/>
      <c r="CH345" s="43"/>
      <c r="CK345" s="43"/>
    </row>
    <row r="346" spans="2:89" x14ac:dyDescent="0.25">
      <c r="B346" s="89"/>
      <c r="C346" s="123"/>
      <c r="D346" s="47"/>
      <c r="E346" s="40"/>
      <c r="F346" s="43"/>
      <c r="G346" s="43"/>
      <c r="H346" s="41"/>
      <c r="I346" s="42"/>
      <c r="J346" s="42"/>
      <c r="K346" s="84"/>
      <c r="L346" s="45"/>
      <c r="M346" s="50"/>
      <c r="N346" s="42"/>
      <c r="O346" s="42"/>
      <c r="P346" s="223"/>
      <c r="Q346" s="42"/>
      <c r="R346" s="42"/>
      <c r="S346" s="42"/>
      <c r="T346" s="42"/>
      <c r="U346" s="67"/>
      <c r="V346" s="220"/>
      <c r="W346" s="48"/>
      <c r="X346" s="49"/>
      <c r="Y346" s="43"/>
      <c r="Z346" s="49"/>
      <c r="AA346" s="43"/>
      <c r="AB346" s="43"/>
      <c r="AC346" s="49"/>
      <c r="AE346" s="43"/>
      <c r="AF346" s="69"/>
      <c r="AI346" s="46"/>
      <c r="AJ346" s="138"/>
      <c r="AK346" s="138"/>
      <c r="AL346" s="138"/>
      <c r="AM346" s="42"/>
      <c r="AO346" s="42"/>
      <c r="AQ346" s="43"/>
      <c r="AR346" s="43"/>
      <c r="AS346" s="44"/>
      <c r="AT346" s="44"/>
      <c r="AU346" s="44"/>
      <c r="AW346" s="42"/>
      <c r="AX346" s="42"/>
      <c r="AY346" s="45"/>
      <c r="AZ346" s="47"/>
      <c r="BG346" s="43"/>
      <c r="BI346" s="43"/>
      <c r="BJ346" s="43"/>
      <c r="BK346" s="43"/>
      <c r="BL346" s="43"/>
      <c r="BM346" s="43"/>
      <c r="BO346" s="43"/>
      <c r="BR346" s="43"/>
      <c r="BS346" s="43"/>
      <c r="BW346" s="43"/>
      <c r="CC346" s="43"/>
      <c r="CE346" s="43"/>
      <c r="CF346" s="43"/>
      <c r="CH346" s="43"/>
      <c r="CK346" s="43"/>
    </row>
    <row r="347" spans="2:89" x14ac:dyDescent="0.25">
      <c r="B347" s="89"/>
      <c r="C347" s="123"/>
      <c r="D347" s="47"/>
      <c r="E347" s="40"/>
      <c r="F347" s="43"/>
      <c r="G347" s="43"/>
      <c r="H347" s="41"/>
      <c r="I347" s="42"/>
      <c r="J347" s="42"/>
      <c r="K347" s="84"/>
      <c r="L347" s="45"/>
      <c r="M347" s="50"/>
      <c r="N347" s="42"/>
      <c r="O347" s="42"/>
      <c r="P347" s="229"/>
      <c r="Q347" s="42"/>
      <c r="R347" s="42"/>
      <c r="S347" s="42"/>
      <c r="T347" s="42"/>
      <c r="U347" s="67"/>
      <c r="V347" s="220"/>
      <c r="W347" s="48"/>
      <c r="X347" s="49"/>
      <c r="Y347" s="43"/>
      <c r="Z347" s="49"/>
      <c r="AA347" s="43"/>
      <c r="AB347" s="43"/>
      <c r="AC347" s="49"/>
      <c r="AE347" s="43"/>
      <c r="AF347" s="69"/>
      <c r="AI347" s="46"/>
      <c r="AJ347" s="138"/>
      <c r="AK347" s="138"/>
      <c r="AL347" s="138"/>
      <c r="AM347" s="42"/>
      <c r="AO347" s="42"/>
      <c r="AQ347" s="43"/>
      <c r="AR347" s="43"/>
      <c r="AS347" s="44"/>
      <c r="AT347" s="44"/>
      <c r="AU347" s="44"/>
      <c r="AW347" s="42"/>
      <c r="AX347" s="42"/>
      <c r="AY347" s="45"/>
      <c r="AZ347" s="47"/>
      <c r="BG347" s="43"/>
      <c r="BI347" s="43"/>
      <c r="BJ347" s="43"/>
      <c r="BK347" s="43"/>
      <c r="BL347" s="43"/>
      <c r="BM347" s="43"/>
      <c r="BO347" s="43"/>
      <c r="BR347" s="43"/>
      <c r="BS347" s="43"/>
      <c r="BW347" s="43"/>
      <c r="CC347" s="43"/>
      <c r="CE347" s="43"/>
      <c r="CF347" s="43"/>
      <c r="CH347" s="43"/>
      <c r="CK347" s="43"/>
    </row>
    <row r="348" spans="2:89" ht="15.75" customHeight="1" x14ac:dyDescent="0.25">
      <c r="B348" s="89"/>
      <c r="C348" s="123"/>
      <c r="D348" s="47"/>
      <c r="E348" s="40"/>
      <c r="F348" s="43"/>
      <c r="G348" s="43"/>
      <c r="H348" s="41"/>
      <c r="I348" s="42"/>
      <c r="J348" s="42"/>
      <c r="K348" s="84"/>
      <c r="L348" s="45"/>
      <c r="M348" s="50"/>
      <c r="N348" s="42"/>
      <c r="O348" s="42"/>
      <c r="P348" s="229"/>
      <c r="Q348" s="42"/>
      <c r="R348" s="42"/>
      <c r="S348" s="42"/>
      <c r="T348" s="42"/>
      <c r="U348" s="67"/>
      <c r="V348" s="220"/>
      <c r="W348" s="48"/>
      <c r="X348" s="49"/>
      <c r="Y348" s="43"/>
      <c r="Z348" s="49"/>
      <c r="AA348" s="43"/>
      <c r="AB348" s="43"/>
      <c r="AC348" s="49"/>
      <c r="AE348" s="43"/>
      <c r="AF348" s="69"/>
      <c r="AI348" s="46"/>
      <c r="AJ348" s="138"/>
      <c r="AK348" s="138"/>
      <c r="AL348" s="138"/>
      <c r="AM348" s="42"/>
      <c r="AO348" s="42"/>
      <c r="AQ348" s="43"/>
      <c r="AR348" s="43"/>
      <c r="AS348" s="44"/>
      <c r="AT348" s="44"/>
      <c r="AU348" s="73"/>
      <c r="AW348" s="42"/>
      <c r="AX348" s="42"/>
      <c r="AY348" s="45"/>
      <c r="AZ348" s="47"/>
      <c r="BG348" s="43"/>
      <c r="BI348" s="43"/>
      <c r="BJ348" s="43"/>
      <c r="BK348" s="43"/>
      <c r="BL348" s="43"/>
      <c r="BM348" s="43"/>
      <c r="BO348" s="43"/>
      <c r="BR348" s="43"/>
      <c r="BS348" s="43"/>
      <c r="BW348" s="43"/>
      <c r="CC348" s="43"/>
      <c r="CE348" s="43"/>
      <c r="CF348" s="43"/>
      <c r="CH348" s="43"/>
      <c r="CK348" s="43"/>
    </row>
    <row r="349" spans="2:89" x14ac:dyDescent="0.25">
      <c r="B349" s="89"/>
      <c r="C349" s="123"/>
      <c r="D349" s="47"/>
      <c r="E349" s="40"/>
      <c r="F349" s="43"/>
      <c r="G349" s="43"/>
      <c r="H349" s="41"/>
      <c r="I349" s="42"/>
      <c r="J349" s="244"/>
      <c r="K349" s="84"/>
      <c r="L349" s="45"/>
      <c r="M349" s="50"/>
      <c r="N349" s="42"/>
      <c r="O349" s="42"/>
      <c r="P349" s="229"/>
      <c r="Q349" s="42"/>
      <c r="R349" s="42"/>
      <c r="S349" s="42"/>
      <c r="T349" s="42"/>
      <c r="U349" s="67"/>
      <c r="V349" s="220"/>
      <c r="W349" s="48"/>
      <c r="X349" s="49"/>
      <c r="Y349" s="43"/>
      <c r="Z349" s="49"/>
      <c r="AA349" s="43"/>
      <c r="AB349" s="43"/>
      <c r="AC349" s="49"/>
      <c r="AE349" s="43"/>
      <c r="AF349" s="69"/>
      <c r="AH349" s="151"/>
      <c r="AI349" s="46"/>
      <c r="AJ349" s="138"/>
      <c r="AK349" s="138"/>
      <c r="AL349" s="138"/>
      <c r="AM349" s="42"/>
      <c r="AO349" s="42"/>
      <c r="AQ349" s="43"/>
      <c r="AR349" s="43"/>
      <c r="AS349" s="44"/>
      <c r="AT349" s="152"/>
      <c r="AU349" s="44"/>
      <c r="AW349" s="42"/>
      <c r="AX349" s="42"/>
      <c r="AY349" s="45"/>
      <c r="AZ349" s="47"/>
      <c r="BG349" s="43"/>
      <c r="BI349" s="43"/>
      <c r="BJ349" s="43"/>
      <c r="BK349" s="43"/>
      <c r="BL349" s="43"/>
      <c r="BM349" s="43"/>
      <c r="BO349" s="43"/>
      <c r="BR349" s="43"/>
      <c r="BS349" s="43"/>
      <c r="BW349" s="43"/>
      <c r="CC349" s="43"/>
      <c r="CE349" s="43"/>
      <c r="CF349" s="43"/>
      <c r="CH349" s="43"/>
      <c r="CK349" s="43"/>
    </row>
    <row r="350" spans="2:89" ht="15.75" customHeight="1" x14ac:dyDescent="0.25">
      <c r="B350" s="89"/>
      <c r="C350" s="123"/>
      <c r="D350" s="47"/>
      <c r="E350" s="40"/>
      <c r="F350" s="43"/>
      <c r="G350" s="43"/>
      <c r="H350" s="41"/>
      <c r="I350" s="42"/>
      <c r="J350" s="42"/>
      <c r="K350" s="84"/>
      <c r="L350" s="45"/>
      <c r="M350" s="43"/>
      <c r="N350" s="42"/>
      <c r="O350" s="42"/>
      <c r="P350" s="229"/>
      <c r="Q350" s="42"/>
      <c r="R350" s="42"/>
      <c r="S350" s="42"/>
      <c r="T350" s="42"/>
      <c r="U350" s="67"/>
      <c r="V350" s="220"/>
      <c r="W350" s="48"/>
      <c r="X350" s="49"/>
      <c r="Y350" s="43"/>
      <c r="Z350" s="49"/>
      <c r="AA350" s="43"/>
      <c r="AB350" s="43"/>
      <c r="AC350" s="49"/>
      <c r="AE350" s="43"/>
      <c r="AF350" s="69"/>
      <c r="AI350" s="46"/>
      <c r="AJ350" s="138"/>
      <c r="AK350" s="138"/>
      <c r="AL350" s="138"/>
      <c r="AM350" s="42"/>
      <c r="AO350" s="42"/>
      <c r="AQ350" s="43"/>
      <c r="AR350" s="43"/>
      <c r="AS350" s="44"/>
      <c r="AT350" s="44"/>
      <c r="AU350" s="44"/>
      <c r="AW350" s="42"/>
      <c r="AX350" s="42"/>
      <c r="AY350" s="45"/>
      <c r="AZ350" s="47"/>
      <c r="BG350" s="43"/>
      <c r="BI350" s="43"/>
      <c r="BJ350" s="43"/>
      <c r="BK350" s="43"/>
      <c r="BL350" s="43"/>
      <c r="BM350" s="43"/>
      <c r="BO350" s="43"/>
      <c r="BR350" s="43"/>
      <c r="BS350" s="43"/>
      <c r="BW350" s="43"/>
      <c r="CC350" s="43"/>
      <c r="CE350" s="43"/>
      <c r="CF350" s="43"/>
      <c r="CH350" s="43"/>
      <c r="CK350" s="43"/>
    </row>
    <row r="351" spans="2:89" ht="15.75" customHeight="1" x14ac:dyDescent="0.25">
      <c r="B351" s="89"/>
      <c r="C351" s="123"/>
      <c r="D351" s="47"/>
      <c r="E351" s="40"/>
      <c r="F351" s="43"/>
      <c r="G351" s="43"/>
      <c r="H351" s="41"/>
      <c r="I351" s="42"/>
      <c r="J351" s="42"/>
      <c r="K351" s="84"/>
      <c r="L351" s="45"/>
      <c r="M351" s="43"/>
      <c r="N351" s="42"/>
      <c r="O351" s="42"/>
      <c r="P351" s="229"/>
      <c r="Q351" s="42"/>
      <c r="R351" s="42"/>
      <c r="S351" s="42"/>
      <c r="T351" s="42"/>
      <c r="U351" s="67"/>
      <c r="V351" s="220"/>
      <c r="W351" s="48"/>
      <c r="X351" s="49"/>
      <c r="Y351" s="43"/>
      <c r="Z351" s="49"/>
      <c r="AA351" s="43"/>
      <c r="AB351" s="43"/>
      <c r="AC351" s="49"/>
      <c r="AE351" s="43"/>
      <c r="AF351" s="69"/>
      <c r="AI351" s="46"/>
      <c r="AJ351" s="138"/>
      <c r="AK351" s="138"/>
      <c r="AL351" s="138"/>
      <c r="AM351" s="42"/>
      <c r="AO351" s="42"/>
      <c r="AQ351" s="43"/>
      <c r="AR351" s="43"/>
      <c r="AS351" s="44"/>
      <c r="AT351" s="44"/>
      <c r="AU351" s="44"/>
      <c r="AW351" s="42"/>
      <c r="AX351" s="42"/>
      <c r="AY351" s="45"/>
      <c r="AZ351" s="47"/>
      <c r="BG351" s="43"/>
      <c r="BI351" s="43"/>
      <c r="BJ351" s="43"/>
      <c r="BK351" s="43"/>
      <c r="BL351" s="43"/>
      <c r="BM351" s="43"/>
      <c r="BO351" s="43"/>
      <c r="BR351" s="43"/>
      <c r="BS351" s="43"/>
      <c r="BW351" s="43"/>
      <c r="CC351" s="43"/>
      <c r="CE351" s="43"/>
      <c r="CF351" s="43"/>
      <c r="CH351" s="43"/>
      <c r="CK351" s="43"/>
    </row>
    <row r="352" spans="2:89" ht="15.75" customHeight="1" x14ac:dyDescent="0.25">
      <c r="B352" s="89"/>
      <c r="C352" s="123"/>
      <c r="D352" s="47"/>
      <c r="E352" s="40"/>
      <c r="F352" s="43"/>
      <c r="G352" s="43"/>
      <c r="H352" s="41"/>
      <c r="I352" s="42"/>
      <c r="J352" s="42"/>
      <c r="K352" s="84"/>
      <c r="L352" s="45"/>
      <c r="M352" s="50"/>
      <c r="N352" s="42"/>
      <c r="O352" s="42"/>
      <c r="P352" s="223"/>
      <c r="Q352" s="42"/>
      <c r="R352" s="42"/>
      <c r="S352" s="42"/>
      <c r="T352" s="42"/>
      <c r="U352" s="67"/>
      <c r="V352" s="220"/>
      <c r="W352" s="48"/>
      <c r="X352" s="49"/>
      <c r="Y352" s="43"/>
      <c r="Z352" s="49"/>
      <c r="AA352" s="43"/>
      <c r="AB352" s="43"/>
      <c r="AC352" s="49"/>
      <c r="AE352" s="43"/>
      <c r="AF352" s="69"/>
      <c r="AI352" s="46"/>
      <c r="AJ352" s="138"/>
      <c r="AK352" s="138"/>
      <c r="AL352" s="138"/>
      <c r="AM352" s="42"/>
      <c r="AO352" s="42"/>
      <c r="AQ352" s="43"/>
      <c r="AR352" s="43"/>
      <c r="AS352" s="44"/>
      <c r="AT352" s="44"/>
      <c r="AU352" s="44"/>
      <c r="AW352" s="42"/>
      <c r="AX352" s="42"/>
      <c r="AY352" s="45"/>
      <c r="AZ352" s="47"/>
      <c r="BG352" s="43"/>
      <c r="BI352" s="43"/>
      <c r="BJ352" s="43"/>
      <c r="BK352" s="43"/>
      <c r="BL352" s="43"/>
      <c r="BM352" s="43"/>
      <c r="BO352" s="43"/>
      <c r="BR352" s="43"/>
      <c r="BS352" s="43"/>
      <c r="BW352" s="43"/>
      <c r="CC352" s="43"/>
      <c r="CE352" s="43"/>
      <c r="CF352" s="43"/>
      <c r="CH352" s="43"/>
      <c r="CK352" s="43"/>
    </row>
    <row r="353" spans="2:89" ht="15.75" customHeight="1" x14ac:dyDescent="0.25">
      <c r="B353" s="89"/>
      <c r="C353" s="123"/>
      <c r="D353" s="47"/>
      <c r="E353" s="40"/>
      <c r="F353" s="43"/>
      <c r="G353" s="43"/>
      <c r="H353" s="41"/>
      <c r="I353" s="42"/>
      <c r="J353" s="42"/>
      <c r="K353" s="84"/>
      <c r="L353" s="45"/>
      <c r="M353" s="50"/>
      <c r="N353" s="42"/>
      <c r="O353" s="42"/>
      <c r="P353" s="223"/>
      <c r="Q353" s="42"/>
      <c r="R353" s="42"/>
      <c r="S353" s="42"/>
      <c r="T353" s="42"/>
      <c r="U353" s="67"/>
      <c r="V353" s="222"/>
      <c r="W353" s="48"/>
      <c r="X353" s="49"/>
      <c r="Y353" s="43"/>
      <c r="Z353" s="49"/>
      <c r="AA353" s="43"/>
      <c r="AB353" s="43"/>
      <c r="AC353" s="49"/>
      <c r="AE353" s="43"/>
      <c r="AF353" s="69"/>
      <c r="AI353" s="46"/>
      <c r="AJ353" s="138"/>
      <c r="AK353" s="138"/>
      <c r="AL353" s="138"/>
      <c r="AM353" s="42"/>
      <c r="AO353" s="42"/>
      <c r="AQ353" s="43"/>
      <c r="AR353" s="43"/>
      <c r="AS353" s="44"/>
      <c r="AT353" s="44"/>
      <c r="AU353" s="44"/>
      <c r="AW353" s="42"/>
      <c r="AX353" s="42"/>
      <c r="AY353" s="45"/>
      <c r="AZ353" s="47"/>
      <c r="BG353" s="43"/>
      <c r="BI353" s="43"/>
      <c r="BJ353" s="43"/>
      <c r="BK353" s="43"/>
      <c r="BL353" s="43"/>
      <c r="BM353" s="43"/>
      <c r="BO353" s="43"/>
      <c r="BR353" s="43"/>
      <c r="BS353" s="43"/>
      <c r="BW353" s="43"/>
      <c r="CC353" s="43"/>
      <c r="CE353" s="43"/>
      <c r="CF353" s="43"/>
      <c r="CH353" s="43"/>
      <c r="CK353" s="43"/>
    </row>
    <row r="354" spans="2:89" x14ac:dyDescent="0.25">
      <c r="B354" s="89"/>
      <c r="C354" s="123"/>
      <c r="D354" s="47"/>
      <c r="E354" s="40"/>
      <c r="F354" s="43"/>
      <c r="G354" s="43"/>
      <c r="H354" s="41"/>
      <c r="I354" s="42"/>
      <c r="J354" s="42"/>
      <c r="K354" s="84"/>
      <c r="L354" s="45"/>
      <c r="M354" s="50"/>
      <c r="N354" s="42"/>
      <c r="O354" s="42"/>
      <c r="P354" s="223"/>
      <c r="Q354" s="42"/>
      <c r="R354" s="42"/>
      <c r="S354" s="42"/>
      <c r="T354" s="42"/>
      <c r="U354" s="67"/>
      <c r="V354" s="220"/>
      <c r="W354" s="48"/>
      <c r="X354" s="49"/>
      <c r="Y354" s="43"/>
      <c r="Z354" s="49"/>
      <c r="AA354" s="43"/>
      <c r="AB354" s="43"/>
      <c r="AC354" s="49"/>
      <c r="AE354" s="43"/>
      <c r="AF354" s="69"/>
      <c r="AI354" s="46"/>
      <c r="AJ354" s="138"/>
      <c r="AK354" s="138"/>
      <c r="AL354" s="138"/>
      <c r="AM354" s="42"/>
      <c r="AO354" s="42"/>
      <c r="AQ354" s="43"/>
      <c r="AR354" s="43"/>
      <c r="AS354" s="44"/>
      <c r="AT354" s="44"/>
      <c r="AU354" s="44"/>
      <c r="AW354" s="42"/>
      <c r="AX354" s="42"/>
      <c r="AY354" s="45"/>
      <c r="AZ354" s="47"/>
      <c r="BG354" s="43"/>
      <c r="BI354" s="43"/>
      <c r="BJ354" s="43"/>
      <c r="BK354" s="43"/>
      <c r="BL354" s="43"/>
      <c r="BM354" s="43"/>
      <c r="BO354" s="43"/>
      <c r="BR354" s="43"/>
      <c r="BS354" s="43"/>
      <c r="BW354" s="43"/>
      <c r="CC354" s="43"/>
      <c r="CE354" s="43"/>
      <c r="CF354" s="43"/>
      <c r="CH354" s="43"/>
      <c r="CK354" s="43"/>
    </row>
    <row r="355" spans="2:89" x14ac:dyDescent="0.25">
      <c r="B355" s="89"/>
      <c r="C355" s="123"/>
      <c r="D355" s="47"/>
      <c r="E355" s="40"/>
      <c r="F355" s="43"/>
      <c r="G355" s="43"/>
      <c r="H355" s="41"/>
      <c r="I355" s="182"/>
      <c r="J355" s="200"/>
      <c r="K355" s="84"/>
      <c r="L355" s="45"/>
      <c r="M355" s="43"/>
      <c r="N355" s="42"/>
      <c r="O355" s="42"/>
      <c r="P355" s="229"/>
      <c r="Q355" s="42"/>
      <c r="R355" s="42"/>
      <c r="S355" s="42"/>
      <c r="T355" s="42"/>
      <c r="U355" s="67"/>
      <c r="V355" s="220"/>
      <c r="W355" s="48"/>
      <c r="X355" s="49"/>
      <c r="Y355" s="43"/>
      <c r="Z355" s="49"/>
      <c r="AA355" s="43"/>
      <c r="AB355" s="43"/>
      <c r="AC355" s="49"/>
      <c r="AE355" s="43"/>
      <c r="AF355" s="69"/>
      <c r="AH355" s="150"/>
      <c r="AI355" s="46"/>
      <c r="AJ355" s="138"/>
      <c r="AK355" s="138"/>
      <c r="AL355" s="138"/>
      <c r="AM355" s="42"/>
      <c r="AO355" s="42"/>
      <c r="AQ355" s="43"/>
      <c r="AR355" s="43"/>
      <c r="AS355" s="44"/>
      <c r="AT355" s="152"/>
      <c r="AU355" s="44"/>
      <c r="AW355" s="42"/>
      <c r="AX355" s="42"/>
      <c r="AY355" s="45"/>
      <c r="AZ355" s="47"/>
      <c r="BG355" s="43"/>
      <c r="BI355" s="43"/>
      <c r="BJ355" s="43"/>
      <c r="BK355" s="43"/>
      <c r="BL355" s="43"/>
      <c r="BM355" s="43"/>
      <c r="BO355" s="43"/>
      <c r="BR355" s="43"/>
      <c r="BS355" s="43"/>
      <c r="BW355" s="43"/>
      <c r="CC355" s="43"/>
      <c r="CE355" s="43"/>
      <c r="CF355" s="43"/>
      <c r="CH355" s="43"/>
      <c r="CK355" s="43"/>
    </row>
    <row r="356" spans="2:89" x14ac:dyDescent="0.25">
      <c r="B356" s="89"/>
      <c r="C356" s="123"/>
      <c r="D356" s="47"/>
      <c r="E356" s="40"/>
      <c r="F356" s="43"/>
      <c r="G356" s="43"/>
      <c r="H356" s="41"/>
      <c r="I356" s="42"/>
      <c r="J356" s="245"/>
      <c r="K356" s="84"/>
      <c r="L356" s="45"/>
      <c r="M356" s="50"/>
      <c r="N356" s="42"/>
      <c r="O356" s="42"/>
      <c r="P356" s="200"/>
      <c r="Q356" s="42"/>
      <c r="R356" s="42"/>
      <c r="S356" s="42"/>
      <c r="T356" s="42"/>
      <c r="U356" s="67"/>
      <c r="V356" s="220"/>
      <c r="W356" s="48"/>
      <c r="X356" s="49"/>
      <c r="Y356" s="43"/>
      <c r="Z356" s="49"/>
      <c r="AA356" s="43"/>
      <c r="AB356" s="43"/>
      <c r="AC356" s="49"/>
      <c r="AE356" s="43"/>
      <c r="AF356" s="69"/>
      <c r="AH356" s="151"/>
      <c r="AI356" s="46"/>
      <c r="AJ356" s="138"/>
      <c r="AK356" s="138"/>
      <c r="AL356" s="138"/>
      <c r="AM356" s="42"/>
      <c r="AO356" s="42"/>
      <c r="AQ356" s="43"/>
      <c r="AR356" s="43"/>
      <c r="AS356" s="44"/>
      <c r="AT356" s="152"/>
      <c r="AU356" s="44"/>
      <c r="AW356" s="42"/>
      <c r="AX356" s="42"/>
      <c r="AY356" s="45"/>
      <c r="AZ356" s="47"/>
      <c r="BG356" s="43"/>
      <c r="BI356" s="43"/>
      <c r="BJ356" s="43"/>
      <c r="BK356" s="43"/>
      <c r="BL356" s="43"/>
      <c r="BM356" s="43"/>
      <c r="BO356" s="43"/>
      <c r="BR356" s="43"/>
      <c r="BS356" s="43"/>
      <c r="BW356" s="43"/>
      <c r="CC356" s="43"/>
      <c r="CE356" s="43"/>
      <c r="CF356" s="43"/>
      <c r="CH356" s="43"/>
      <c r="CK356" s="43"/>
    </row>
    <row r="357" spans="2:89" ht="15.75" customHeight="1" x14ac:dyDescent="0.3">
      <c r="B357" s="89"/>
      <c r="C357" s="123"/>
      <c r="D357" s="47"/>
      <c r="E357" s="40"/>
      <c r="F357" s="43"/>
      <c r="G357" s="43"/>
      <c r="H357" s="41"/>
      <c r="I357" s="42"/>
      <c r="J357" s="242"/>
      <c r="K357" s="84"/>
      <c r="L357" s="45"/>
      <c r="M357" s="43"/>
      <c r="N357" s="42"/>
      <c r="O357" s="42"/>
      <c r="P357" s="229"/>
      <c r="Q357" s="42"/>
      <c r="R357" s="42"/>
      <c r="S357" s="42"/>
      <c r="T357" s="42"/>
      <c r="U357" s="67"/>
      <c r="V357" s="220"/>
      <c r="W357" s="48"/>
      <c r="X357" s="49"/>
      <c r="Y357" s="43"/>
      <c r="Z357" s="49"/>
      <c r="AA357" s="43"/>
      <c r="AB357" s="43"/>
      <c r="AC357" s="49"/>
      <c r="AE357" s="43"/>
      <c r="AF357" s="69"/>
      <c r="AI357" s="46"/>
      <c r="AJ357" s="138"/>
      <c r="AK357" s="138"/>
      <c r="AL357" s="138"/>
      <c r="AM357" s="42"/>
      <c r="AO357" s="42"/>
      <c r="AQ357" s="43"/>
      <c r="AR357" s="43"/>
      <c r="AS357" s="44"/>
      <c r="AT357" s="44"/>
      <c r="AU357" s="44"/>
      <c r="AW357" s="42"/>
      <c r="AX357" s="42"/>
      <c r="AY357" s="45"/>
      <c r="AZ357" s="47"/>
      <c r="BG357" s="43"/>
      <c r="BI357" s="43"/>
      <c r="BJ357" s="43"/>
      <c r="BK357" s="43"/>
      <c r="BL357" s="43"/>
      <c r="BM357" s="43"/>
      <c r="BO357" s="43"/>
      <c r="BR357" s="43"/>
      <c r="BS357" s="43"/>
      <c r="BW357" s="43"/>
      <c r="CC357" s="43"/>
      <c r="CE357" s="43"/>
      <c r="CF357" s="43"/>
      <c r="CH357" s="43"/>
      <c r="CK357" s="43"/>
    </row>
    <row r="358" spans="2:89" ht="15.75" customHeight="1" x14ac:dyDescent="0.3">
      <c r="B358" s="89"/>
      <c r="C358" s="123"/>
      <c r="D358" s="47"/>
      <c r="E358" s="40"/>
      <c r="F358" s="43"/>
      <c r="G358" s="43"/>
      <c r="H358" s="41"/>
      <c r="I358" s="42"/>
      <c r="J358" s="243"/>
      <c r="K358" s="84"/>
      <c r="L358" s="45"/>
      <c r="M358" s="50"/>
      <c r="N358" s="42"/>
      <c r="O358" s="42"/>
      <c r="P358" s="42"/>
      <c r="Q358" s="42"/>
      <c r="R358" s="42"/>
      <c r="S358" s="42"/>
      <c r="T358" s="42"/>
      <c r="U358" s="67"/>
      <c r="V358" s="220"/>
      <c r="W358" s="48"/>
      <c r="X358" s="49"/>
      <c r="Y358" s="43"/>
      <c r="Z358" s="49"/>
      <c r="AA358" s="43"/>
      <c r="AB358" s="43"/>
      <c r="AC358" s="49"/>
      <c r="AE358" s="43"/>
      <c r="AF358" s="69"/>
      <c r="AI358" s="46"/>
      <c r="AJ358" s="138"/>
      <c r="AK358" s="138"/>
      <c r="AL358" s="138"/>
      <c r="AM358" s="42"/>
      <c r="AO358" s="42"/>
      <c r="AQ358" s="43"/>
      <c r="AR358" s="43"/>
      <c r="AS358" s="44"/>
      <c r="AT358" s="44"/>
      <c r="AU358" s="44"/>
      <c r="AW358" s="42"/>
      <c r="AX358" s="42"/>
      <c r="AY358" s="45"/>
      <c r="AZ358" s="47"/>
      <c r="BG358" s="43"/>
      <c r="BI358" s="43"/>
      <c r="BJ358" s="43"/>
      <c r="BK358" s="43"/>
      <c r="BL358" s="43"/>
      <c r="BM358" s="43"/>
      <c r="BO358" s="43"/>
      <c r="BR358" s="43"/>
      <c r="BS358" s="43"/>
      <c r="BW358" s="43"/>
      <c r="CC358" s="43"/>
      <c r="CE358" s="43"/>
      <c r="CF358" s="43"/>
      <c r="CH358" s="43"/>
      <c r="CK358" s="43"/>
    </row>
    <row r="359" spans="2:89" ht="15.75" customHeight="1" x14ac:dyDescent="0.3">
      <c r="B359" s="89"/>
      <c r="C359" s="123"/>
      <c r="D359" s="47"/>
      <c r="E359" s="40"/>
      <c r="F359" s="43"/>
      <c r="G359" s="43"/>
      <c r="H359" s="41"/>
      <c r="I359" s="42"/>
      <c r="J359" s="242"/>
      <c r="K359" s="84"/>
      <c r="L359" s="45"/>
      <c r="M359" s="50"/>
      <c r="N359" s="42"/>
      <c r="O359" s="42"/>
      <c r="P359" s="42"/>
      <c r="Q359" s="42"/>
      <c r="R359" s="42"/>
      <c r="S359" s="42"/>
      <c r="T359" s="42"/>
      <c r="U359" s="67"/>
      <c r="V359" s="220"/>
      <c r="W359" s="48"/>
      <c r="X359" s="49"/>
      <c r="Y359" s="43"/>
      <c r="Z359" s="49"/>
      <c r="AA359" s="43"/>
      <c r="AB359" s="43"/>
      <c r="AC359" s="49"/>
      <c r="AE359" s="43"/>
      <c r="AF359" s="69"/>
      <c r="AI359" s="46"/>
      <c r="AJ359" s="138"/>
      <c r="AK359" s="138"/>
      <c r="AL359" s="138"/>
      <c r="AM359" s="42"/>
      <c r="AO359" s="42"/>
      <c r="AQ359" s="43"/>
      <c r="AR359" s="43"/>
      <c r="AS359" s="44"/>
      <c r="AT359" s="44"/>
      <c r="AU359" s="44"/>
      <c r="AW359" s="42"/>
      <c r="AX359" s="42"/>
      <c r="AY359" s="45"/>
      <c r="AZ359" s="47"/>
      <c r="BG359" s="43"/>
      <c r="BI359" s="43"/>
      <c r="BJ359" s="43"/>
      <c r="BK359" s="43"/>
      <c r="BL359" s="43"/>
      <c r="BM359" s="43"/>
      <c r="BO359" s="43"/>
      <c r="BR359" s="43"/>
      <c r="BS359" s="43"/>
      <c r="BW359" s="43"/>
      <c r="CC359" s="43"/>
      <c r="CE359" s="43"/>
      <c r="CF359" s="43"/>
      <c r="CH359" s="43"/>
      <c r="CK359" s="43"/>
    </row>
    <row r="360" spans="2:89" ht="15.75" customHeight="1" x14ac:dyDescent="0.3">
      <c r="B360" s="89"/>
      <c r="C360" s="123"/>
      <c r="D360" s="47"/>
      <c r="E360" s="40"/>
      <c r="F360" s="43"/>
      <c r="G360" s="43"/>
      <c r="H360" s="41"/>
      <c r="I360" s="42"/>
      <c r="J360" s="243"/>
      <c r="K360" s="84"/>
      <c r="L360" s="45"/>
      <c r="M360" s="50"/>
      <c r="N360" s="42"/>
      <c r="O360" s="42"/>
      <c r="P360" s="42"/>
      <c r="Q360" s="42"/>
      <c r="R360" s="42"/>
      <c r="S360" s="42"/>
      <c r="T360" s="42"/>
      <c r="U360" s="67"/>
      <c r="V360" s="220"/>
      <c r="W360" s="48"/>
      <c r="X360" s="49"/>
      <c r="Y360" s="43"/>
      <c r="Z360" s="49"/>
      <c r="AA360" s="43"/>
      <c r="AB360" s="43"/>
      <c r="AC360" s="49"/>
      <c r="AE360" s="43"/>
      <c r="AF360" s="69"/>
      <c r="AI360" s="46"/>
      <c r="AJ360" s="138"/>
      <c r="AK360" s="138"/>
      <c r="AL360" s="138"/>
      <c r="AM360" s="42"/>
      <c r="AO360" s="42"/>
      <c r="AQ360" s="43"/>
      <c r="AR360" s="43"/>
      <c r="AS360" s="44"/>
      <c r="AT360" s="44"/>
      <c r="AU360" s="44"/>
      <c r="AW360" s="42"/>
      <c r="AX360" s="42"/>
      <c r="AY360" s="45"/>
      <c r="AZ360" s="47"/>
      <c r="BG360" s="43"/>
      <c r="BI360" s="43"/>
      <c r="BJ360" s="43"/>
      <c r="BK360" s="43"/>
      <c r="BL360" s="43"/>
      <c r="BM360" s="43"/>
      <c r="BO360" s="43"/>
      <c r="BR360" s="43"/>
      <c r="BS360" s="43"/>
      <c r="BW360" s="43"/>
      <c r="CC360" s="43"/>
      <c r="CE360" s="43"/>
      <c r="CF360" s="43"/>
      <c r="CH360" s="43"/>
      <c r="CK360" s="43"/>
    </row>
    <row r="361" spans="2:89" ht="15.75" customHeight="1" x14ac:dyDescent="0.3">
      <c r="B361" s="89"/>
      <c r="C361" s="123"/>
      <c r="D361" s="47"/>
      <c r="E361" s="40"/>
      <c r="F361" s="43"/>
      <c r="G361" s="43"/>
      <c r="H361" s="41"/>
      <c r="I361" s="42"/>
      <c r="J361" s="242"/>
      <c r="K361" s="84"/>
      <c r="L361" s="45"/>
      <c r="M361" s="50"/>
      <c r="N361" s="42"/>
      <c r="O361" s="42"/>
      <c r="P361" s="42"/>
      <c r="Q361" s="42"/>
      <c r="R361" s="42"/>
      <c r="S361" s="42"/>
      <c r="T361" s="42"/>
      <c r="U361" s="67"/>
      <c r="V361" s="220"/>
      <c r="W361" s="48"/>
      <c r="X361" s="49"/>
      <c r="Y361" s="43"/>
      <c r="Z361" s="49"/>
      <c r="AA361" s="43"/>
      <c r="AB361" s="43"/>
      <c r="AC361" s="49"/>
      <c r="AE361" s="43"/>
      <c r="AF361" s="69"/>
      <c r="AI361" s="46"/>
      <c r="AJ361" s="138"/>
      <c r="AK361" s="138"/>
      <c r="AL361" s="138"/>
      <c r="AM361" s="42"/>
      <c r="AO361" s="42"/>
      <c r="AQ361" s="43"/>
      <c r="AR361" s="43"/>
      <c r="AS361" s="44"/>
      <c r="AT361" s="44"/>
      <c r="AU361" s="44"/>
      <c r="AW361" s="42"/>
      <c r="AX361" s="42"/>
      <c r="AY361" s="45"/>
      <c r="AZ361" s="47"/>
      <c r="BG361" s="43"/>
      <c r="BI361" s="43"/>
      <c r="BJ361" s="43"/>
      <c r="BK361" s="43"/>
      <c r="BL361" s="43"/>
      <c r="BM361" s="43"/>
      <c r="BO361" s="43"/>
      <c r="BR361" s="43"/>
      <c r="BS361" s="43"/>
      <c r="BW361" s="43"/>
      <c r="CC361" s="43"/>
      <c r="CE361" s="43"/>
      <c r="CF361" s="43"/>
      <c r="CH361" s="43"/>
      <c r="CK361" s="43"/>
    </row>
    <row r="362" spans="2:89" ht="15.75" customHeight="1" x14ac:dyDescent="0.3">
      <c r="B362" s="89"/>
      <c r="C362" s="123"/>
      <c r="D362" s="47"/>
      <c r="E362" s="40"/>
      <c r="F362" s="43"/>
      <c r="G362" s="43"/>
      <c r="H362" s="41"/>
      <c r="I362" s="42"/>
      <c r="J362" s="243"/>
      <c r="K362" s="84"/>
      <c r="L362" s="45"/>
      <c r="M362" s="43"/>
      <c r="N362" s="42"/>
      <c r="O362" s="42"/>
      <c r="P362" s="42"/>
      <c r="Q362" s="42"/>
      <c r="R362" s="42"/>
      <c r="S362" s="42"/>
      <c r="T362" s="42"/>
      <c r="U362" s="67"/>
      <c r="V362" s="220"/>
      <c r="W362" s="48"/>
      <c r="X362" s="49"/>
      <c r="Y362" s="43"/>
      <c r="Z362" s="49"/>
      <c r="AA362" s="43"/>
      <c r="AB362" s="43"/>
      <c r="AC362" s="49"/>
      <c r="AE362" s="43"/>
      <c r="AF362" s="69"/>
      <c r="AI362" s="46"/>
      <c r="AJ362" s="138"/>
      <c r="AK362" s="138"/>
      <c r="AL362" s="138"/>
      <c r="AM362" s="42"/>
      <c r="AO362" s="42"/>
      <c r="AQ362" s="43"/>
      <c r="AR362" s="43"/>
      <c r="AS362" s="44"/>
      <c r="AT362" s="44"/>
      <c r="AU362" s="44"/>
      <c r="AW362" s="42"/>
      <c r="AX362" s="42"/>
      <c r="AY362" s="45"/>
      <c r="AZ362" s="47"/>
      <c r="BG362" s="43"/>
      <c r="BI362" s="43"/>
      <c r="BJ362" s="43"/>
      <c r="BK362" s="43"/>
      <c r="BL362" s="43"/>
      <c r="BM362" s="43"/>
      <c r="BO362" s="43"/>
      <c r="BR362" s="43"/>
      <c r="BS362" s="43"/>
      <c r="BW362" s="43"/>
      <c r="CC362" s="43"/>
      <c r="CE362" s="43"/>
      <c r="CF362" s="43"/>
      <c r="CH362" s="43"/>
      <c r="CK362" s="43"/>
    </row>
    <row r="363" spans="2:89" ht="15.75" customHeight="1" x14ac:dyDescent="0.3">
      <c r="B363" s="89"/>
      <c r="C363" s="127"/>
      <c r="D363" s="47"/>
      <c r="E363" s="40"/>
      <c r="F363" s="43"/>
      <c r="G363" s="43"/>
      <c r="H363" s="41"/>
      <c r="I363" s="42"/>
      <c r="J363" s="242"/>
      <c r="K363" s="84"/>
      <c r="L363" s="114"/>
      <c r="M363" s="50"/>
      <c r="N363" s="42"/>
      <c r="O363" s="42"/>
      <c r="P363" s="229"/>
      <c r="Q363" s="42"/>
      <c r="R363" s="42"/>
      <c r="S363" s="42"/>
      <c r="T363" s="42"/>
      <c r="U363" s="67"/>
      <c r="V363" s="220"/>
      <c r="W363" s="48"/>
      <c r="X363" s="49"/>
      <c r="Y363" s="43"/>
      <c r="Z363" s="49"/>
      <c r="AA363" s="43"/>
      <c r="AB363" s="43"/>
      <c r="AC363" s="49"/>
      <c r="AE363" s="43"/>
      <c r="AF363" s="69"/>
      <c r="AI363" s="46"/>
      <c r="AJ363" s="138"/>
      <c r="AK363" s="138"/>
      <c r="AL363" s="138"/>
      <c r="AM363" s="42"/>
      <c r="AO363" s="42"/>
      <c r="AQ363" s="43"/>
      <c r="AR363" s="43"/>
      <c r="AS363" s="44"/>
      <c r="AT363" s="44"/>
      <c r="AU363" s="44"/>
      <c r="AW363" s="42"/>
      <c r="AX363" s="42"/>
      <c r="AY363" s="45"/>
      <c r="AZ363" s="47"/>
      <c r="BG363" s="43"/>
      <c r="BI363" s="43"/>
      <c r="BJ363" s="43"/>
      <c r="BK363" s="43"/>
      <c r="BL363" s="43"/>
      <c r="BM363" s="43"/>
      <c r="BO363" s="43"/>
      <c r="BR363" s="43"/>
      <c r="BS363" s="43"/>
      <c r="BW363" s="43"/>
      <c r="CC363" s="43"/>
      <c r="CE363" s="43"/>
      <c r="CF363" s="43"/>
      <c r="CH363" s="43"/>
      <c r="CK363" s="43"/>
    </row>
    <row r="364" spans="2:89" ht="15.75" customHeight="1" x14ac:dyDescent="0.3">
      <c r="B364" s="89"/>
      <c r="C364" s="123"/>
      <c r="D364" s="47"/>
      <c r="E364" s="40"/>
      <c r="F364" s="43"/>
      <c r="G364" s="43"/>
      <c r="H364" s="41"/>
      <c r="I364" s="42"/>
      <c r="J364" s="243"/>
      <c r="K364" s="84"/>
      <c r="L364" s="45"/>
      <c r="M364" s="43"/>
      <c r="N364" s="42"/>
      <c r="O364" s="42"/>
      <c r="P364" s="200"/>
      <c r="Q364" s="42"/>
      <c r="R364" s="42"/>
      <c r="S364" s="42"/>
      <c r="T364" s="42"/>
      <c r="U364" s="67"/>
      <c r="V364" s="220"/>
      <c r="W364" s="48"/>
      <c r="X364" s="49"/>
      <c r="Y364" s="43"/>
      <c r="Z364" s="49"/>
      <c r="AA364" s="43"/>
      <c r="AB364" s="43"/>
      <c r="AC364" s="49"/>
      <c r="AE364" s="43"/>
      <c r="AF364" s="69"/>
      <c r="AI364" s="46"/>
      <c r="AJ364" s="138"/>
      <c r="AK364" s="138"/>
      <c r="AL364" s="138"/>
      <c r="AM364" s="42"/>
      <c r="AO364" s="42"/>
      <c r="AQ364" s="43"/>
      <c r="AR364" s="43"/>
      <c r="AS364" s="44"/>
      <c r="AT364" s="44"/>
      <c r="AU364" s="44"/>
      <c r="AW364" s="42"/>
      <c r="AX364" s="42"/>
      <c r="AY364" s="45"/>
      <c r="AZ364" s="47"/>
      <c r="BG364" s="43"/>
      <c r="BI364" s="43"/>
      <c r="BJ364" s="43"/>
      <c r="BK364" s="43"/>
      <c r="BL364" s="43"/>
      <c r="BM364" s="43"/>
      <c r="BO364" s="43"/>
      <c r="BR364" s="43"/>
      <c r="BS364" s="43"/>
      <c r="BW364" s="43"/>
      <c r="CC364" s="43"/>
      <c r="CE364" s="43"/>
      <c r="CF364" s="43"/>
      <c r="CH364" s="43"/>
      <c r="CK364" s="43"/>
    </row>
    <row r="365" spans="2:89" ht="15.75" customHeight="1" x14ac:dyDescent="0.3">
      <c r="B365" s="89"/>
      <c r="C365" s="123"/>
      <c r="D365" s="47"/>
      <c r="E365" s="40"/>
      <c r="F365" s="43"/>
      <c r="G365" s="43"/>
      <c r="H365" s="41"/>
      <c r="I365" s="42"/>
      <c r="J365" s="242"/>
      <c r="K365" s="84"/>
      <c r="L365" s="114"/>
      <c r="M365" s="43"/>
      <c r="N365" s="42"/>
      <c r="O365" s="42"/>
      <c r="P365" s="42"/>
      <c r="Q365" s="42"/>
      <c r="R365" s="42"/>
      <c r="S365" s="42"/>
      <c r="T365" s="42"/>
      <c r="U365" s="67"/>
      <c r="V365" s="220"/>
      <c r="W365" s="48"/>
      <c r="X365" s="49"/>
      <c r="Y365" s="43"/>
      <c r="Z365" s="49"/>
      <c r="AA365" s="43"/>
      <c r="AB365" s="43"/>
      <c r="AC365" s="49"/>
      <c r="AE365" s="43"/>
      <c r="AF365" s="69"/>
      <c r="AI365" s="46"/>
      <c r="AJ365" s="138"/>
      <c r="AK365" s="138"/>
      <c r="AL365" s="138"/>
      <c r="AM365" s="42"/>
      <c r="AO365" s="42"/>
      <c r="AQ365" s="43"/>
      <c r="AR365" s="43"/>
      <c r="AS365" s="44"/>
      <c r="AT365" s="44"/>
      <c r="AU365" s="44"/>
      <c r="AW365" s="42"/>
      <c r="AX365" s="42"/>
      <c r="AY365" s="45"/>
      <c r="AZ365" s="47"/>
      <c r="BG365" s="43"/>
      <c r="BI365" s="43"/>
      <c r="BJ365" s="43"/>
      <c r="BK365" s="43"/>
      <c r="BL365" s="43"/>
      <c r="BM365" s="43"/>
      <c r="BO365" s="43"/>
      <c r="BR365" s="43"/>
      <c r="BS365" s="43"/>
      <c r="BW365" s="43"/>
      <c r="CC365" s="43"/>
      <c r="CE365" s="43"/>
      <c r="CF365" s="43"/>
      <c r="CH365" s="43"/>
      <c r="CK365" s="43"/>
    </row>
    <row r="366" spans="2:89" ht="15.75" customHeight="1" x14ac:dyDescent="0.3">
      <c r="B366" s="89"/>
      <c r="C366" s="123"/>
      <c r="D366" s="47"/>
      <c r="E366" s="40"/>
      <c r="F366" s="43"/>
      <c r="G366" s="43"/>
      <c r="H366" s="41"/>
      <c r="I366" s="42"/>
      <c r="J366" s="243"/>
      <c r="K366" s="84"/>
      <c r="L366" s="45"/>
      <c r="M366" s="43"/>
      <c r="N366" s="42"/>
      <c r="O366" s="42"/>
      <c r="P366" s="229"/>
      <c r="Q366" s="42"/>
      <c r="R366" s="42"/>
      <c r="S366" s="42"/>
      <c r="T366" s="42"/>
      <c r="U366" s="67"/>
      <c r="V366" s="220"/>
      <c r="W366" s="48"/>
      <c r="X366" s="49"/>
      <c r="Y366" s="43"/>
      <c r="Z366" s="49"/>
      <c r="AA366" s="43"/>
      <c r="AB366" s="43"/>
      <c r="AC366" s="49"/>
      <c r="AE366" s="43"/>
      <c r="AF366" s="69"/>
      <c r="AI366" s="46"/>
      <c r="AJ366" s="138"/>
      <c r="AK366" s="138"/>
      <c r="AL366" s="138"/>
      <c r="AM366" s="42"/>
      <c r="AO366" s="42"/>
      <c r="AQ366" s="43"/>
      <c r="AR366" s="43"/>
      <c r="AS366" s="44"/>
      <c r="AT366" s="44"/>
      <c r="AU366" s="44"/>
      <c r="AW366" s="42"/>
      <c r="AX366" s="42"/>
      <c r="AY366" s="45"/>
      <c r="AZ366" s="47"/>
      <c r="BG366" s="43"/>
      <c r="BI366" s="43"/>
      <c r="BJ366" s="43"/>
      <c r="BK366" s="43"/>
      <c r="BL366" s="43"/>
      <c r="BM366" s="43"/>
      <c r="BO366" s="43"/>
      <c r="BR366" s="43"/>
      <c r="BS366" s="43"/>
      <c r="BW366" s="43"/>
      <c r="CC366" s="43"/>
      <c r="CE366" s="43"/>
      <c r="CF366" s="43"/>
      <c r="CH366" s="43"/>
      <c r="CK366" s="43"/>
    </row>
    <row r="367" spans="2:89" ht="15.75" customHeight="1" x14ac:dyDescent="0.3">
      <c r="B367" s="89"/>
      <c r="C367" s="123"/>
      <c r="D367" s="47"/>
      <c r="E367" s="40"/>
      <c r="F367" s="43"/>
      <c r="G367" s="43"/>
      <c r="H367" s="41"/>
      <c r="I367" s="42"/>
      <c r="J367" s="242"/>
      <c r="K367" s="84"/>
      <c r="L367" s="45"/>
      <c r="M367" s="50"/>
      <c r="N367" s="42"/>
      <c r="O367" s="42"/>
      <c r="P367" s="223"/>
      <c r="Q367" s="42"/>
      <c r="R367" s="42"/>
      <c r="S367" s="42"/>
      <c r="T367" s="42"/>
      <c r="U367" s="67"/>
      <c r="V367" s="220"/>
      <c r="W367" s="48"/>
      <c r="X367" s="49"/>
      <c r="Y367" s="43"/>
      <c r="Z367" s="49"/>
      <c r="AA367" s="43"/>
      <c r="AB367" s="43"/>
      <c r="AC367" s="49"/>
      <c r="AE367" s="43"/>
      <c r="AF367" s="69"/>
      <c r="AI367" s="46"/>
      <c r="AJ367" s="138"/>
      <c r="AK367" s="138"/>
      <c r="AL367" s="138"/>
      <c r="AM367" s="42"/>
      <c r="AO367" s="42"/>
      <c r="AQ367" s="43"/>
      <c r="AR367" s="43"/>
      <c r="AS367" s="44"/>
      <c r="AT367" s="44"/>
      <c r="AU367" s="44"/>
      <c r="AW367" s="42"/>
      <c r="AX367" s="42"/>
      <c r="AY367" s="45"/>
      <c r="AZ367" s="47"/>
      <c r="BG367" s="43"/>
      <c r="BI367" s="43"/>
      <c r="BJ367" s="43"/>
      <c r="BK367" s="43"/>
      <c r="BL367" s="43"/>
      <c r="BM367" s="43"/>
      <c r="BO367" s="43"/>
      <c r="BR367" s="43"/>
      <c r="BS367" s="43"/>
      <c r="BW367" s="43"/>
      <c r="CC367" s="43"/>
      <c r="CE367" s="43"/>
      <c r="CF367" s="43"/>
      <c r="CH367" s="43"/>
      <c r="CK367" s="43"/>
    </row>
    <row r="368" spans="2:89" ht="15.75" customHeight="1" x14ac:dyDescent="0.3">
      <c r="B368" s="89"/>
      <c r="C368" s="123"/>
      <c r="D368" s="47"/>
      <c r="E368" s="40"/>
      <c r="F368" s="43"/>
      <c r="G368" s="43"/>
      <c r="H368" s="41"/>
      <c r="I368" s="42"/>
      <c r="J368" s="243"/>
      <c r="K368" s="84"/>
      <c r="L368" s="45"/>
      <c r="M368" s="50"/>
      <c r="N368" s="42"/>
      <c r="O368" s="42"/>
      <c r="P368" s="229"/>
      <c r="Q368" s="42"/>
      <c r="R368" s="42"/>
      <c r="S368" s="42"/>
      <c r="T368" s="42"/>
      <c r="U368" s="67"/>
      <c r="V368" s="220"/>
      <c r="W368" s="48"/>
      <c r="X368" s="49"/>
      <c r="Y368" s="43"/>
      <c r="Z368" s="49"/>
      <c r="AA368" s="43"/>
      <c r="AB368" s="43"/>
      <c r="AC368" s="49"/>
      <c r="AE368" s="43"/>
      <c r="AF368" s="69"/>
      <c r="AI368" s="46"/>
      <c r="AJ368" s="138"/>
      <c r="AK368" s="138"/>
      <c r="AL368" s="138"/>
      <c r="AM368" s="42"/>
      <c r="AO368" s="42"/>
      <c r="AQ368" s="43"/>
      <c r="AR368" s="43"/>
      <c r="AS368" s="44"/>
      <c r="AT368" s="44"/>
      <c r="AU368" s="44"/>
      <c r="AW368" s="42"/>
      <c r="AX368" s="42"/>
      <c r="AY368" s="45"/>
      <c r="AZ368" s="47"/>
      <c r="BG368" s="43"/>
      <c r="BI368" s="43"/>
      <c r="BJ368" s="43"/>
      <c r="BK368" s="43"/>
      <c r="BL368" s="43"/>
      <c r="BM368" s="43"/>
      <c r="BO368" s="43"/>
      <c r="BR368" s="43"/>
      <c r="BS368" s="43"/>
      <c r="BW368" s="43"/>
      <c r="CC368" s="43"/>
      <c r="CE368" s="43"/>
      <c r="CF368" s="43"/>
      <c r="CH368" s="43"/>
      <c r="CK368" s="43"/>
    </row>
    <row r="369" spans="2:89" ht="15.75" customHeight="1" x14ac:dyDescent="0.3">
      <c r="B369" s="89"/>
      <c r="C369" s="123"/>
      <c r="D369" s="47"/>
      <c r="E369" s="40"/>
      <c r="F369" s="43"/>
      <c r="G369" s="43"/>
      <c r="H369" s="41"/>
      <c r="I369" s="42"/>
      <c r="J369" s="242"/>
      <c r="K369" s="84"/>
      <c r="L369" s="45"/>
      <c r="M369" s="50"/>
      <c r="N369" s="42"/>
      <c r="O369" s="42"/>
      <c r="P369" s="229"/>
      <c r="Q369" s="42"/>
      <c r="R369" s="42"/>
      <c r="S369" s="42"/>
      <c r="T369" s="42"/>
      <c r="U369" s="67"/>
      <c r="V369" s="220"/>
      <c r="W369" s="48"/>
      <c r="X369" s="49"/>
      <c r="Y369" s="43"/>
      <c r="Z369" s="49"/>
      <c r="AA369" s="43"/>
      <c r="AB369" s="43"/>
      <c r="AC369" s="49"/>
      <c r="AE369" s="43"/>
      <c r="AF369" s="69"/>
      <c r="AI369" s="46"/>
      <c r="AJ369" s="138"/>
      <c r="AK369" s="138"/>
      <c r="AL369" s="138"/>
      <c r="AM369" s="42"/>
      <c r="AO369" s="42"/>
      <c r="AQ369" s="43"/>
      <c r="AR369" s="43"/>
      <c r="AS369" s="44"/>
      <c r="AT369" s="44"/>
      <c r="AU369" s="44"/>
      <c r="AW369" s="42"/>
      <c r="AX369" s="42"/>
      <c r="AY369" s="45"/>
      <c r="AZ369" s="47"/>
      <c r="BG369" s="43"/>
      <c r="BI369" s="43"/>
      <c r="BJ369" s="43"/>
      <c r="BK369" s="43"/>
      <c r="BL369" s="43"/>
      <c r="BM369" s="43"/>
      <c r="BO369" s="43"/>
      <c r="BR369" s="43"/>
      <c r="BS369" s="43"/>
      <c r="BW369" s="43"/>
      <c r="CC369" s="43"/>
      <c r="CE369" s="43"/>
      <c r="CF369" s="43"/>
      <c r="CH369" s="43"/>
      <c r="CK369" s="43"/>
    </row>
    <row r="370" spans="2:89" ht="15.75" customHeight="1" x14ac:dyDescent="0.3">
      <c r="B370" s="89"/>
      <c r="C370" s="123"/>
      <c r="D370" s="47"/>
      <c r="E370" s="40"/>
      <c r="F370" s="43"/>
      <c r="G370" s="43"/>
      <c r="H370" s="41"/>
      <c r="I370" s="42"/>
      <c r="J370" s="243"/>
      <c r="K370" s="84"/>
      <c r="L370" s="45"/>
      <c r="M370" s="50"/>
      <c r="N370" s="42"/>
      <c r="O370" s="42"/>
      <c r="P370" s="229"/>
      <c r="Q370" s="42"/>
      <c r="R370" s="42"/>
      <c r="S370" s="42"/>
      <c r="T370" s="42"/>
      <c r="U370" s="67"/>
      <c r="V370" s="220"/>
      <c r="W370" s="48"/>
      <c r="X370" s="49"/>
      <c r="Y370" s="43"/>
      <c r="Z370" s="49"/>
      <c r="AA370" s="43"/>
      <c r="AB370" s="43"/>
      <c r="AC370" s="49"/>
      <c r="AE370" s="43"/>
      <c r="AF370" s="69"/>
      <c r="AI370" s="46"/>
      <c r="AJ370" s="138"/>
      <c r="AK370" s="138"/>
      <c r="AL370" s="138"/>
      <c r="AM370" s="42"/>
      <c r="AO370" s="42"/>
      <c r="AQ370" s="43"/>
      <c r="AR370" s="43"/>
      <c r="AS370" s="44"/>
      <c r="AT370" s="44"/>
      <c r="AU370" s="44"/>
      <c r="AW370" s="42"/>
      <c r="AX370" s="42"/>
      <c r="AY370" s="45"/>
      <c r="AZ370" s="47"/>
      <c r="BG370" s="43"/>
      <c r="BI370" s="43"/>
      <c r="BJ370" s="43"/>
      <c r="BK370" s="43"/>
      <c r="BL370" s="43"/>
      <c r="BM370" s="43"/>
      <c r="BO370" s="43"/>
      <c r="BR370" s="43"/>
      <c r="BS370" s="43"/>
      <c r="BW370" s="43"/>
      <c r="CC370" s="43"/>
      <c r="CE370" s="43"/>
      <c r="CF370" s="43"/>
      <c r="CH370" s="43"/>
      <c r="CK370" s="43"/>
    </row>
    <row r="371" spans="2:89" ht="15.75" customHeight="1" x14ac:dyDescent="0.3">
      <c r="B371" s="89"/>
      <c r="C371" s="123"/>
      <c r="D371" s="47"/>
      <c r="E371" s="40"/>
      <c r="F371" s="43"/>
      <c r="G371" s="43"/>
      <c r="H371" s="41"/>
      <c r="I371" s="42"/>
      <c r="J371" s="241"/>
      <c r="K371" s="84"/>
      <c r="L371" s="45"/>
      <c r="M371" s="50"/>
      <c r="N371" s="42"/>
      <c r="O371" s="42"/>
      <c r="P371" s="223"/>
      <c r="Q371" s="42"/>
      <c r="R371" s="42"/>
      <c r="S371" s="42"/>
      <c r="T371" s="42"/>
      <c r="U371" s="67"/>
      <c r="V371" s="220"/>
      <c r="W371" s="48"/>
      <c r="X371" s="49"/>
      <c r="Y371" s="43"/>
      <c r="Z371" s="49"/>
      <c r="AA371" s="43"/>
      <c r="AB371" s="43"/>
      <c r="AC371" s="49"/>
      <c r="AE371" s="43"/>
      <c r="AF371" s="69"/>
      <c r="AI371" s="46"/>
      <c r="AJ371" s="138"/>
      <c r="AK371" s="138"/>
      <c r="AL371" s="138"/>
      <c r="AM371" s="42"/>
      <c r="AO371" s="42"/>
      <c r="AQ371" s="43"/>
      <c r="AR371" s="43"/>
      <c r="AS371" s="44"/>
      <c r="AT371" s="44"/>
      <c r="AU371" s="44"/>
      <c r="AW371" s="42"/>
      <c r="AX371" s="42"/>
      <c r="AY371" s="45"/>
      <c r="AZ371" s="47"/>
      <c r="BG371" s="43"/>
      <c r="BI371" s="43"/>
      <c r="BJ371" s="43"/>
      <c r="BK371" s="43"/>
      <c r="BL371" s="43"/>
      <c r="BM371" s="43"/>
      <c r="BO371" s="43"/>
      <c r="BR371" s="43"/>
      <c r="BS371" s="43"/>
      <c r="BW371" s="43"/>
      <c r="CC371" s="43"/>
      <c r="CE371" s="43"/>
      <c r="CF371" s="43"/>
      <c r="CH371" s="43"/>
      <c r="CK371" s="43"/>
    </row>
    <row r="372" spans="2:89" ht="15.75" customHeight="1" x14ac:dyDescent="0.3">
      <c r="B372" s="89"/>
      <c r="C372" s="123"/>
      <c r="D372" s="47"/>
      <c r="E372" s="40"/>
      <c r="F372" s="43"/>
      <c r="G372" s="43"/>
      <c r="H372" s="41"/>
      <c r="I372" s="42"/>
      <c r="J372" s="241"/>
      <c r="K372" s="84"/>
      <c r="L372" s="45"/>
      <c r="M372" s="50"/>
      <c r="N372" s="42"/>
      <c r="O372" s="42"/>
      <c r="P372" s="223"/>
      <c r="Q372" s="42"/>
      <c r="R372" s="42"/>
      <c r="S372" s="42"/>
      <c r="T372" s="42"/>
      <c r="U372" s="67"/>
      <c r="V372" s="220"/>
      <c r="W372" s="48"/>
      <c r="X372" s="49"/>
      <c r="Y372" s="43"/>
      <c r="Z372" s="49"/>
      <c r="AA372" s="43"/>
      <c r="AB372" s="43"/>
      <c r="AC372" s="49"/>
      <c r="AE372" s="43"/>
      <c r="AF372" s="69"/>
      <c r="AI372" s="46"/>
      <c r="AJ372" s="138"/>
      <c r="AK372" s="138"/>
      <c r="AL372" s="138"/>
      <c r="AM372" s="42"/>
      <c r="AO372" s="42"/>
      <c r="AQ372" s="43"/>
      <c r="AR372" s="43"/>
      <c r="AS372" s="44"/>
      <c r="AT372" s="44"/>
      <c r="AU372" s="44"/>
      <c r="AW372" s="42"/>
      <c r="AX372" s="42"/>
      <c r="AY372" s="45"/>
      <c r="AZ372" s="47"/>
      <c r="BG372" s="43"/>
      <c r="BI372" s="43"/>
      <c r="BJ372" s="43"/>
      <c r="BK372" s="43"/>
      <c r="BL372" s="43"/>
      <c r="BM372" s="43"/>
      <c r="BO372" s="43"/>
      <c r="BR372" s="43"/>
      <c r="BS372" s="43"/>
      <c r="BW372" s="43"/>
      <c r="CC372" s="43"/>
      <c r="CE372" s="43"/>
      <c r="CF372" s="43"/>
      <c r="CH372" s="43"/>
      <c r="CK372" s="43"/>
    </row>
    <row r="373" spans="2:89" ht="15.75" customHeight="1" x14ac:dyDescent="0.3">
      <c r="B373" s="89"/>
      <c r="C373" s="123"/>
      <c r="D373" s="47"/>
      <c r="E373" s="40"/>
      <c r="F373" s="43"/>
      <c r="G373" s="43"/>
      <c r="H373" s="41"/>
      <c r="I373" s="42"/>
      <c r="J373" s="241"/>
      <c r="K373" s="84"/>
      <c r="L373" s="114"/>
      <c r="M373" s="50"/>
      <c r="N373" s="42"/>
      <c r="O373" s="42"/>
      <c r="P373" s="223"/>
      <c r="Q373" s="42"/>
      <c r="R373" s="42"/>
      <c r="S373" s="42"/>
      <c r="T373" s="42"/>
      <c r="U373" s="67"/>
      <c r="V373" s="220"/>
      <c r="W373" s="48"/>
      <c r="X373" s="49"/>
      <c r="Y373" s="43"/>
      <c r="Z373" s="49"/>
      <c r="AA373" s="43"/>
      <c r="AB373" s="43"/>
      <c r="AC373" s="49"/>
      <c r="AE373" s="43"/>
      <c r="AF373" s="69"/>
      <c r="AI373" s="46"/>
      <c r="AJ373" s="138"/>
      <c r="AK373" s="138"/>
      <c r="AL373" s="138"/>
      <c r="AM373" s="42"/>
      <c r="AO373" s="42"/>
      <c r="AQ373" s="43"/>
      <c r="AR373" s="43"/>
      <c r="AS373" s="44"/>
      <c r="AT373" s="44"/>
      <c r="AU373" s="44"/>
      <c r="AW373" s="42"/>
      <c r="AX373" s="42"/>
      <c r="AY373" s="45"/>
      <c r="AZ373" s="47"/>
      <c r="BG373" s="43"/>
      <c r="BI373" s="43"/>
      <c r="BJ373" s="43"/>
      <c r="BK373" s="43"/>
      <c r="BL373" s="43"/>
      <c r="BM373" s="43"/>
      <c r="BO373" s="43"/>
      <c r="BR373" s="43"/>
      <c r="BS373" s="43"/>
      <c r="BW373" s="43"/>
      <c r="CC373" s="43"/>
      <c r="CE373" s="43"/>
      <c r="CF373" s="43"/>
      <c r="CH373" s="43"/>
      <c r="CK373" s="43"/>
    </row>
    <row r="374" spans="2:89" ht="15.75" customHeight="1" x14ac:dyDescent="0.3">
      <c r="B374" s="89"/>
      <c r="C374" s="123"/>
      <c r="D374" s="47"/>
      <c r="E374" s="40"/>
      <c r="F374" s="43"/>
      <c r="G374" s="43"/>
      <c r="H374" s="41"/>
      <c r="I374" s="42"/>
      <c r="J374" s="241"/>
      <c r="K374" s="84"/>
      <c r="L374" s="45"/>
      <c r="M374" s="50"/>
      <c r="N374" s="42"/>
      <c r="O374" s="42"/>
      <c r="P374" s="200"/>
      <c r="Q374" s="42"/>
      <c r="R374" s="42"/>
      <c r="S374" s="42"/>
      <c r="T374" s="42"/>
      <c r="U374" s="67"/>
      <c r="V374" s="220"/>
      <c r="W374" s="48"/>
      <c r="X374" s="49"/>
      <c r="Y374" s="43"/>
      <c r="Z374" s="49"/>
      <c r="AA374" s="43"/>
      <c r="AB374" s="43"/>
      <c r="AC374" s="49"/>
      <c r="AE374" s="43"/>
      <c r="AF374" s="69"/>
      <c r="AI374" s="46"/>
      <c r="AJ374" s="138"/>
      <c r="AK374" s="138"/>
      <c r="AL374" s="138"/>
      <c r="AM374" s="42"/>
      <c r="AO374" s="42"/>
      <c r="AQ374" s="43"/>
      <c r="AR374" s="43"/>
      <c r="AS374" s="44"/>
      <c r="AT374" s="44"/>
      <c r="AU374" s="44"/>
      <c r="AW374" s="42"/>
      <c r="AX374" s="42"/>
      <c r="AY374" s="45"/>
      <c r="AZ374" s="47"/>
      <c r="BG374" s="43"/>
      <c r="BI374" s="43"/>
      <c r="BJ374" s="43"/>
      <c r="BK374" s="43"/>
      <c r="BL374" s="43"/>
      <c r="BM374" s="43"/>
      <c r="BO374" s="43"/>
      <c r="BR374" s="43"/>
      <c r="BS374" s="43"/>
      <c r="BW374" s="43"/>
      <c r="CC374" s="43"/>
      <c r="CE374" s="43"/>
      <c r="CF374" s="43"/>
      <c r="CH374" s="43"/>
      <c r="CK374" s="43"/>
    </row>
    <row r="375" spans="2:89" ht="15.75" customHeight="1" x14ac:dyDescent="0.3">
      <c r="B375" s="89"/>
      <c r="C375" s="123"/>
      <c r="D375" s="47"/>
      <c r="E375" s="40"/>
      <c r="F375" s="43"/>
      <c r="G375" s="43"/>
      <c r="H375" s="41"/>
      <c r="I375" s="42"/>
      <c r="J375" s="241"/>
      <c r="K375" s="84"/>
      <c r="L375" s="45"/>
      <c r="M375" s="50"/>
      <c r="N375" s="42"/>
      <c r="O375" s="42"/>
      <c r="P375" s="42"/>
      <c r="Q375" s="42"/>
      <c r="R375" s="42"/>
      <c r="S375" s="42"/>
      <c r="T375" s="42"/>
      <c r="U375" s="67"/>
      <c r="V375" s="220"/>
      <c r="W375" s="48"/>
      <c r="X375" s="49"/>
      <c r="Y375" s="43"/>
      <c r="Z375" s="49"/>
      <c r="AA375" s="43"/>
      <c r="AB375" s="43"/>
      <c r="AC375" s="49"/>
      <c r="AE375" s="43"/>
      <c r="AF375" s="69"/>
      <c r="AI375" s="46"/>
      <c r="AJ375" s="138"/>
      <c r="AK375" s="138"/>
      <c r="AL375" s="138"/>
      <c r="AM375" s="42"/>
      <c r="AO375" s="42"/>
      <c r="AQ375" s="43"/>
      <c r="AR375" s="43"/>
      <c r="AS375" s="44"/>
      <c r="AT375" s="44"/>
      <c r="AU375" s="44"/>
      <c r="AW375" s="42"/>
      <c r="AX375" s="42"/>
      <c r="AY375" s="45"/>
      <c r="AZ375" s="47"/>
      <c r="BG375" s="43"/>
      <c r="BI375" s="43"/>
      <c r="BJ375" s="43"/>
      <c r="BK375" s="43"/>
      <c r="BL375" s="43"/>
      <c r="BM375" s="43"/>
      <c r="BO375" s="43"/>
      <c r="BR375" s="43"/>
      <c r="BS375" s="43"/>
      <c r="BW375" s="43"/>
      <c r="CC375" s="43"/>
      <c r="CE375" s="43"/>
      <c r="CF375" s="43"/>
      <c r="CH375" s="43"/>
      <c r="CK375" s="43"/>
    </row>
    <row r="376" spans="2:89" ht="15.75" customHeight="1" x14ac:dyDescent="0.25">
      <c r="B376" s="89"/>
      <c r="C376" s="124"/>
      <c r="D376" s="47"/>
      <c r="E376" s="40"/>
      <c r="F376" s="43"/>
      <c r="G376" s="43"/>
      <c r="H376" s="41"/>
      <c r="I376" s="42"/>
      <c r="J376" s="42"/>
      <c r="K376" s="84"/>
      <c r="L376" s="45"/>
      <c r="M376" s="50"/>
      <c r="N376" s="42"/>
      <c r="O376" s="42"/>
      <c r="P376" s="229"/>
      <c r="Q376" s="42"/>
      <c r="R376" s="42"/>
      <c r="S376" s="42"/>
      <c r="T376" s="42"/>
      <c r="U376" s="67"/>
      <c r="V376" s="220"/>
      <c r="W376" s="48"/>
      <c r="X376" s="49"/>
      <c r="Y376" s="43"/>
      <c r="Z376" s="49"/>
      <c r="AA376" s="43"/>
      <c r="AB376" s="43"/>
      <c r="AC376" s="49"/>
      <c r="AE376" s="43"/>
      <c r="AF376" s="69"/>
      <c r="AI376" s="46"/>
      <c r="AJ376" s="138"/>
      <c r="AK376" s="138"/>
      <c r="AL376" s="138"/>
      <c r="AM376" s="42"/>
      <c r="AO376" s="42"/>
      <c r="AQ376" s="43"/>
      <c r="AR376" s="43"/>
      <c r="AS376" s="44"/>
      <c r="AT376" s="44"/>
      <c r="AU376" s="44"/>
      <c r="AW376" s="42"/>
      <c r="AX376" s="42"/>
      <c r="AY376" s="45"/>
      <c r="AZ376" s="47"/>
      <c r="BG376" s="43"/>
      <c r="BI376" s="43"/>
      <c r="BJ376" s="43"/>
      <c r="BK376" s="43"/>
      <c r="BL376" s="43"/>
      <c r="BM376" s="43"/>
      <c r="BO376" s="43"/>
      <c r="BR376" s="43"/>
      <c r="BS376" s="43"/>
      <c r="BW376" s="43"/>
      <c r="CC376" s="43"/>
      <c r="CE376" s="43"/>
      <c r="CF376" s="43"/>
      <c r="CH376" s="43"/>
      <c r="CK376" s="43"/>
    </row>
    <row r="377" spans="2:89" x14ac:dyDescent="0.25">
      <c r="B377" s="89"/>
      <c r="C377" s="123"/>
      <c r="D377" s="47"/>
      <c r="E377" s="40"/>
      <c r="F377" s="43"/>
      <c r="G377" s="43"/>
      <c r="H377" s="41"/>
      <c r="I377" s="182"/>
      <c r="J377" s="200"/>
      <c r="K377" s="84"/>
      <c r="L377" s="45"/>
      <c r="M377" s="43"/>
      <c r="N377" s="42"/>
      <c r="O377" s="42"/>
      <c r="P377" s="223"/>
      <c r="Q377" s="42"/>
      <c r="R377" s="42"/>
      <c r="S377" s="42"/>
      <c r="T377" s="42"/>
      <c r="U377" s="67"/>
      <c r="V377" s="220"/>
      <c r="W377" s="48"/>
      <c r="X377" s="49"/>
      <c r="Y377" s="43"/>
      <c r="Z377" s="49"/>
      <c r="AA377" s="43"/>
      <c r="AB377" s="43"/>
      <c r="AC377" s="49"/>
      <c r="AE377" s="43"/>
      <c r="AF377" s="69"/>
      <c r="AH377" s="150"/>
      <c r="AI377" s="46"/>
      <c r="AJ377" s="138"/>
      <c r="AK377" s="138"/>
      <c r="AL377" s="138"/>
      <c r="AM377" s="42"/>
      <c r="AO377" s="42"/>
      <c r="AQ377" s="43"/>
      <c r="AR377" s="43"/>
      <c r="AS377" s="44"/>
      <c r="AT377" s="152"/>
      <c r="AU377" s="44"/>
      <c r="AW377" s="42"/>
      <c r="AX377" s="42"/>
      <c r="AY377" s="45"/>
      <c r="AZ377" s="47"/>
      <c r="BG377" s="43"/>
      <c r="BI377" s="43"/>
      <c r="BJ377" s="43"/>
      <c r="BK377" s="43"/>
      <c r="BL377" s="43"/>
      <c r="BM377" s="43"/>
      <c r="BO377" s="43"/>
      <c r="BR377" s="43"/>
      <c r="BS377" s="43"/>
      <c r="BW377" s="43"/>
      <c r="CC377" s="43"/>
      <c r="CE377" s="43"/>
      <c r="CF377" s="43"/>
      <c r="CH377" s="43"/>
      <c r="CK377" s="43"/>
    </row>
    <row r="378" spans="2:89" x14ac:dyDescent="0.25">
      <c r="B378" s="89"/>
      <c r="C378" s="123"/>
      <c r="D378" s="47"/>
      <c r="E378" s="40"/>
      <c r="F378" s="43"/>
      <c r="G378" s="43"/>
      <c r="H378" s="41"/>
      <c r="I378" s="42"/>
      <c r="J378" s="245"/>
      <c r="K378" s="84"/>
      <c r="L378" s="45"/>
      <c r="M378" s="50"/>
      <c r="N378" s="42"/>
      <c r="O378" s="42"/>
      <c r="P378" s="42"/>
      <c r="Q378" s="42"/>
      <c r="R378" s="42"/>
      <c r="S378" s="42"/>
      <c r="T378" s="42"/>
      <c r="U378" s="67"/>
      <c r="V378" s="220"/>
      <c r="W378" s="48"/>
      <c r="X378" s="49"/>
      <c r="Y378" s="43"/>
      <c r="Z378" s="49"/>
      <c r="AA378" s="43"/>
      <c r="AB378" s="43"/>
      <c r="AC378" s="49"/>
      <c r="AE378" s="43"/>
      <c r="AF378" s="69"/>
      <c r="AH378" s="151"/>
      <c r="AI378" s="46"/>
      <c r="AJ378" s="138"/>
      <c r="AK378" s="138"/>
      <c r="AL378" s="138"/>
      <c r="AM378" s="42"/>
      <c r="AO378" s="42"/>
      <c r="AQ378" s="43"/>
      <c r="AR378" s="43"/>
      <c r="AS378" s="44"/>
      <c r="AT378" s="44"/>
      <c r="AU378" s="44"/>
      <c r="AW378" s="42"/>
      <c r="AX378" s="42"/>
      <c r="AY378" s="45"/>
      <c r="AZ378" s="47"/>
      <c r="BG378" s="43"/>
      <c r="BI378" s="43"/>
      <c r="BJ378" s="43"/>
      <c r="BK378" s="43"/>
      <c r="BL378" s="43"/>
      <c r="BM378" s="43"/>
      <c r="BO378" s="43"/>
      <c r="BR378" s="43"/>
      <c r="BS378" s="43"/>
      <c r="BW378" s="43"/>
      <c r="CC378" s="43"/>
      <c r="CE378" s="43"/>
      <c r="CF378" s="43"/>
      <c r="CH378" s="43"/>
      <c r="CK378" s="43"/>
    </row>
    <row r="379" spans="2:89" x14ac:dyDescent="0.25">
      <c r="B379" s="89"/>
      <c r="C379" s="123"/>
      <c r="D379" s="47"/>
      <c r="E379" s="40"/>
      <c r="F379" s="43"/>
      <c r="G379" s="43"/>
      <c r="H379" s="41"/>
      <c r="I379" s="42"/>
      <c r="J379" s="42"/>
      <c r="K379" s="84"/>
      <c r="L379" s="45"/>
      <c r="M379" s="43"/>
      <c r="N379" s="42"/>
      <c r="O379" s="42"/>
      <c r="P379" s="229"/>
      <c r="Q379" s="42"/>
      <c r="R379" s="42"/>
      <c r="S379" s="42"/>
      <c r="T379" s="42"/>
      <c r="U379" s="67"/>
      <c r="V379" s="220"/>
      <c r="W379" s="48"/>
      <c r="X379" s="49"/>
      <c r="Y379" s="43"/>
      <c r="Z379" s="49"/>
      <c r="AA379" s="43"/>
      <c r="AB379" s="43"/>
      <c r="AC379" s="49"/>
      <c r="AE379" s="43"/>
      <c r="AF379" s="69"/>
      <c r="AI379" s="46"/>
      <c r="AJ379" s="138"/>
      <c r="AK379" s="138"/>
      <c r="AL379" s="138"/>
      <c r="AM379" s="42"/>
      <c r="AO379" s="42"/>
      <c r="AQ379" s="43"/>
      <c r="AR379" s="43"/>
      <c r="AS379" s="44"/>
      <c r="AT379" s="44"/>
      <c r="AU379" s="44"/>
      <c r="AW379" s="42"/>
      <c r="AX379" s="42"/>
      <c r="AY379" s="45"/>
      <c r="AZ379" s="47"/>
      <c r="BG379" s="43"/>
      <c r="BI379" s="43"/>
      <c r="BJ379" s="43"/>
      <c r="BK379" s="43"/>
      <c r="BL379" s="43"/>
      <c r="BM379" s="43"/>
      <c r="BO379" s="43"/>
      <c r="BR379" s="43"/>
      <c r="BS379" s="43"/>
      <c r="BW379" s="43"/>
      <c r="CC379" s="43"/>
      <c r="CE379" s="43"/>
      <c r="CF379" s="43"/>
      <c r="CH379" s="43"/>
      <c r="CK379" s="43"/>
    </row>
    <row r="380" spans="2:89" x14ac:dyDescent="0.25">
      <c r="B380" s="89"/>
      <c r="C380" s="123"/>
      <c r="D380" s="47"/>
      <c r="E380" s="40"/>
      <c r="F380" s="43"/>
      <c r="G380" s="43"/>
      <c r="H380" s="41"/>
      <c r="I380" s="42"/>
      <c r="J380" s="42"/>
      <c r="K380" s="84"/>
      <c r="L380" s="45"/>
      <c r="M380" s="43"/>
      <c r="N380" s="42"/>
      <c r="O380" s="42"/>
      <c r="P380" s="223"/>
      <c r="Q380" s="42"/>
      <c r="R380" s="42"/>
      <c r="S380" s="42"/>
      <c r="T380" s="42"/>
      <c r="U380" s="67"/>
      <c r="V380" s="220"/>
      <c r="W380" s="48"/>
      <c r="X380" s="49"/>
      <c r="Y380" s="43"/>
      <c r="Z380" s="49"/>
      <c r="AA380" s="43"/>
      <c r="AB380" s="43"/>
      <c r="AC380" s="49"/>
      <c r="AE380" s="43"/>
      <c r="AF380" s="69"/>
      <c r="AI380" s="46"/>
      <c r="AJ380" s="138"/>
      <c r="AK380" s="138"/>
      <c r="AL380" s="138"/>
      <c r="AM380" s="42"/>
      <c r="AO380" s="42"/>
      <c r="AQ380" s="43"/>
      <c r="AR380" s="43"/>
      <c r="AS380" s="44"/>
      <c r="AT380" s="44"/>
      <c r="AU380" s="44"/>
      <c r="AW380" s="42"/>
      <c r="AX380" s="42"/>
      <c r="AY380" s="45"/>
      <c r="AZ380" s="47"/>
      <c r="BG380" s="43"/>
      <c r="BI380" s="43"/>
      <c r="BJ380" s="43"/>
      <c r="BK380" s="43"/>
      <c r="BL380" s="43"/>
      <c r="BM380" s="43"/>
      <c r="BO380" s="43"/>
      <c r="BR380" s="43"/>
      <c r="BS380" s="43"/>
      <c r="BW380" s="43"/>
      <c r="CC380" s="43"/>
      <c r="CE380" s="43"/>
      <c r="CF380" s="43"/>
      <c r="CH380" s="43"/>
      <c r="CK380" s="43"/>
    </row>
    <row r="381" spans="2:89" x14ac:dyDescent="0.25">
      <c r="B381" s="89"/>
      <c r="C381" s="123"/>
      <c r="D381" s="47"/>
      <c r="E381" s="40"/>
      <c r="F381" s="43"/>
      <c r="G381" s="43"/>
      <c r="H381" s="41"/>
      <c r="I381" s="42"/>
      <c r="J381" s="42"/>
      <c r="K381" s="84"/>
      <c r="L381" s="45"/>
      <c r="M381" s="43"/>
      <c r="N381" s="42"/>
      <c r="O381" s="42"/>
      <c r="P381" s="225"/>
      <c r="Q381" s="42"/>
      <c r="R381" s="42"/>
      <c r="S381" s="42"/>
      <c r="T381" s="42"/>
      <c r="U381" s="67"/>
      <c r="V381" s="222"/>
      <c r="W381" s="48"/>
      <c r="X381" s="49"/>
      <c r="Y381" s="43"/>
      <c r="Z381" s="49"/>
      <c r="AA381" s="43"/>
      <c r="AB381" s="43"/>
      <c r="AC381" s="49"/>
      <c r="AE381" s="43"/>
      <c r="AF381" s="69"/>
      <c r="AI381" s="46"/>
      <c r="AJ381" s="138"/>
      <c r="AK381" s="138"/>
      <c r="AL381" s="138"/>
      <c r="AM381" s="42"/>
      <c r="AO381" s="42"/>
      <c r="AQ381" s="43"/>
      <c r="AR381" s="43"/>
      <c r="AS381" s="44"/>
      <c r="AT381" s="44"/>
      <c r="AU381" s="73"/>
      <c r="AW381" s="42"/>
      <c r="AX381" s="42"/>
      <c r="AY381" s="45"/>
      <c r="AZ381" s="47"/>
      <c r="BG381" s="43"/>
      <c r="BI381" s="43"/>
      <c r="BJ381" s="43"/>
      <c r="BK381" s="43"/>
      <c r="BL381" s="43"/>
      <c r="BM381" s="43"/>
      <c r="BO381" s="43"/>
      <c r="BR381" s="43"/>
      <c r="BS381" s="43"/>
      <c r="BW381" s="43"/>
      <c r="CC381" s="43"/>
      <c r="CE381" s="43"/>
      <c r="CF381" s="43"/>
      <c r="CH381" s="43"/>
      <c r="CK381" s="43"/>
    </row>
    <row r="382" spans="2:89" x14ac:dyDescent="0.25">
      <c r="B382" s="89"/>
      <c r="C382" s="123"/>
      <c r="D382" s="47"/>
      <c r="E382" s="40"/>
      <c r="F382" s="43"/>
      <c r="G382" s="43"/>
      <c r="H382" s="41"/>
      <c r="I382" s="42"/>
      <c r="J382" s="42"/>
      <c r="K382" s="84"/>
      <c r="L382" s="45"/>
      <c r="M382" s="43"/>
      <c r="N382" s="42"/>
      <c r="O382" s="42"/>
      <c r="P382" s="223"/>
      <c r="Q382" s="42"/>
      <c r="R382" s="42"/>
      <c r="S382" s="42"/>
      <c r="T382" s="42"/>
      <c r="U382" s="67"/>
      <c r="V382" s="220"/>
      <c r="W382" s="48"/>
      <c r="X382" s="49"/>
      <c r="Y382" s="43"/>
      <c r="Z382" s="49"/>
      <c r="AA382" s="43"/>
      <c r="AB382" s="43"/>
      <c r="AC382" s="49"/>
      <c r="AE382" s="43"/>
      <c r="AF382" s="69"/>
      <c r="AI382" s="46"/>
      <c r="AJ382" s="138"/>
      <c r="AK382" s="138"/>
      <c r="AL382" s="138"/>
      <c r="AM382" s="42"/>
      <c r="AO382" s="42"/>
      <c r="AQ382" s="43"/>
      <c r="AR382" s="43"/>
      <c r="AS382" s="44"/>
      <c r="AT382" s="44"/>
      <c r="AU382" s="44"/>
      <c r="AW382" s="42"/>
      <c r="AX382" s="42"/>
      <c r="AY382" s="45"/>
      <c r="AZ382" s="47"/>
      <c r="BG382" s="43"/>
      <c r="BI382" s="43"/>
      <c r="BJ382" s="43"/>
      <c r="BK382" s="43"/>
      <c r="BL382" s="43"/>
      <c r="BM382" s="43"/>
      <c r="BO382" s="43"/>
      <c r="BR382" s="43"/>
      <c r="BS382" s="43"/>
      <c r="BW382" s="43"/>
      <c r="CC382" s="43"/>
      <c r="CE382" s="43"/>
      <c r="CF382" s="43"/>
      <c r="CH382" s="43"/>
      <c r="CK382" s="43"/>
    </row>
    <row r="383" spans="2:89" x14ac:dyDescent="0.25">
      <c r="B383" s="89"/>
      <c r="C383" s="123"/>
      <c r="D383" s="47"/>
      <c r="E383" s="40"/>
      <c r="F383" s="43"/>
      <c r="G383" s="43"/>
      <c r="H383" s="41"/>
      <c r="I383" s="42"/>
      <c r="J383" s="42"/>
      <c r="K383" s="84"/>
      <c r="L383" s="45"/>
      <c r="M383" s="50"/>
      <c r="N383" s="42"/>
      <c r="O383" s="42"/>
      <c r="P383" s="223"/>
      <c r="Q383" s="42"/>
      <c r="R383" s="42"/>
      <c r="S383" s="42"/>
      <c r="T383" s="42"/>
      <c r="U383" s="67"/>
      <c r="V383" s="220"/>
      <c r="W383" s="48"/>
      <c r="X383" s="49"/>
      <c r="Y383" s="43"/>
      <c r="Z383" s="49"/>
      <c r="AA383" s="43"/>
      <c r="AB383" s="43"/>
      <c r="AC383" s="49"/>
      <c r="AE383" s="43"/>
      <c r="AF383" s="69"/>
      <c r="AI383" s="46"/>
      <c r="AJ383" s="138"/>
      <c r="AK383" s="138"/>
      <c r="AL383" s="138"/>
      <c r="AM383" s="42"/>
      <c r="AO383" s="42"/>
      <c r="AQ383" s="43"/>
      <c r="AR383" s="43"/>
      <c r="AS383" s="44"/>
      <c r="AT383" s="44"/>
      <c r="AU383" s="44"/>
      <c r="AW383" s="42"/>
      <c r="AX383" s="42"/>
      <c r="AY383" s="45"/>
      <c r="AZ383" s="47"/>
      <c r="BG383" s="43"/>
      <c r="BI383" s="43"/>
      <c r="BJ383" s="43"/>
      <c r="BK383" s="43"/>
      <c r="BL383" s="43"/>
      <c r="BM383" s="43"/>
      <c r="BO383" s="43"/>
      <c r="BR383" s="43"/>
      <c r="BS383" s="43"/>
      <c r="BW383" s="43"/>
      <c r="CC383" s="43"/>
      <c r="CE383" s="43"/>
      <c r="CF383" s="43"/>
      <c r="CH383" s="43"/>
      <c r="CK383" s="43"/>
    </row>
    <row r="384" spans="2:89" x14ac:dyDescent="0.25">
      <c r="B384" s="89"/>
      <c r="C384" s="123"/>
      <c r="D384" s="47"/>
      <c r="E384" s="40"/>
      <c r="F384" s="43"/>
      <c r="G384" s="43"/>
      <c r="H384" s="41"/>
      <c r="I384" s="42"/>
      <c r="J384" s="42"/>
      <c r="K384" s="84"/>
      <c r="L384" s="45"/>
      <c r="M384" s="50"/>
      <c r="N384" s="42"/>
      <c r="O384" s="42"/>
      <c r="P384" s="223"/>
      <c r="Q384" s="42"/>
      <c r="R384" s="42"/>
      <c r="S384" s="42"/>
      <c r="T384" s="42"/>
      <c r="U384" s="67"/>
      <c r="V384" s="220"/>
      <c r="W384" s="48"/>
      <c r="X384" s="49"/>
      <c r="Y384" s="43"/>
      <c r="Z384" s="49"/>
      <c r="AA384" s="43"/>
      <c r="AB384" s="43"/>
      <c r="AC384" s="49"/>
      <c r="AE384" s="43"/>
      <c r="AF384" s="69"/>
      <c r="AI384" s="46"/>
      <c r="AJ384" s="138"/>
      <c r="AK384" s="138"/>
      <c r="AL384" s="138"/>
      <c r="AM384" s="42"/>
      <c r="AO384" s="42"/>
      <c r="AQ384" s="43"/>
      <c r="AR384" s="43"/>
      <c r="AS384" s="44"/>
      <c r="AT384" s="44"/>
      <c r="AU384" s="44"/>
      <c r="AW384" s="42"/>
      <c r="AX384" s="42"/>
      <c r="AY384" s="45"/>
      <c r="AZ384" s="47"/>
      <c r="BG384" s="43"/>
      <c r="BI384" s="43"/>
      <c r="BJ384" s="43"/>
      <c r="BK384" s="43"/>
      <c r="BL384" s="43"/>
      <c r="BM384" s="43"/>
      <c r="BO384" s="43"/>
      <c r="BR384" s="43"/>
      <c r="BS384" s="43"/>
      <c r="BW384" s="43"/>
      <c r="CC384" s="43"/>
      <c r="CE384" s="43"/>
      <c r="CF384" s="43"/>
      <c r="CH384" s="43"/>
      <c r="CK384" s="43"/>
    </row>
    <row r="385" spans="2:89" x14ac:dyDescent="0.25">
      <c r="B385" s="89"/>
      <c r="C385" s="123"/>
      <c r="D385" s="47"/>
      <c r="E385" s="40"/>
      <c r="F385" s="43"/>
      <c r="G385" s="43"/>
      <c r="H385" s="41"/>
      <c r="I385" s="42"/>
      <c r="J385" s="42"/>
      <c r="K385" s="84"/>
      <c r="L385" s="45"/>
      <c r="M385" s="50"/>
      <c r="N385" s="42"/>
      <c r="O385" s="42"/>
      <c r="P385" s="229"/>
      <c r="Q385" s="42"/>
      <c r="R385" s="42"/>
      <c r="S385" s="42"/>
      <c r="T385" s="42"/>
      <c r="U385" s="67"/>
      <c r="V385" s="220"/>
      <c r="W385" s="48"/>
      <c r="X385" s="49"/>
      <c r="Y385" s="43"/>
      <c r="Z385" s="49"/>
      <c r="AA385" s="43"/>
      <c r="AB385" s="43"/>
      <c r="AC385" s="49"/>
      <c r="AE385" s="43"/>
      <c r="AF385" s="69"/>
      <c r="AI385" s="46"/>
      <c r="AJ385" s="138"/>
      <c r="AK385" s="138"/>
      <c r="AL385" s="138"/>
      <c r="AM385" s="42"/>
      <c r="AO385" s="42"/>
      <c r="AQ385" s="43"/>
      <c r="AR385" s="43"/>
      <c r="AS385" s="44"/>
      <c r="AT385" s="44"/>
      <c r="AU385" s="44"/>
      <c r="AW385" s="42"/>
      <c r="AX385" s="42"/>
      <c r="AY385" s="45"/>
      <c r="AZ385" s="47"/>
      <c r="BG385" s="43"/>
      <c r="BI385" s="43"/>
      <c r="BJ385" s="43"/>
      <c r="BK385" s="43"/>
      <c r="BL385" s="43"/>
      <c r="BM385" s="43"/>
      <c r="BO385" s="43"/>
      <c r="BR385" s="43"/>
      <c r="BS385" s="43"/>
      <c r="BW385" s="43"/>
      <c r="CC385" s="43"/>
      <c r="CE385" s="43"/>
      <c r="CF385" s="43"/>
      <c r="CH385" s="43"/>
      <c r="CK385" s="43"/>
    </row>
    <row r="386" spans="2:89" x14ac:dyDescent="0.25">
      <c r="B386" s="89"/>
      <c r="C386" s="123"/>
      <c r="D386" s="47"/>
      <c r="E386" s="40"/>
      <c r="F386" s="43"/>
      <c r="G386" s="43"/>
      <c r="H386" s="41"/>
      <c r="I386" s="42"/>
      <c r="J386" s="42"/>
      <c r="K386" s="84"/>
      <c r="L386" s="45"/>
      <c r="M386" s="50"/>
      <c r="N386" s="42"/>
      <c r="O386" s="42"/>
      <c r="P386" s="223"/>
      <c r="Q386" s="42"/>
      <c r="R386" s="42"/>
      <c r="S386" s="42"/>
      <c r="T386" s="42"/>
      <c r="U386" s="67"/>
      <c r="V386" s="220"/>
      <c r="W386" s="48"/>
      <c r="X386" s="49"/>
      <c r="Y386" s="43"/>
      <c r="Z386" s="49"/>
      <c r="AA386" s="43"/>
      <c r="AB386" s="43"/>
      <c r="AC386" s="49"/>
      <c r="AE386" s="43"/>
      <c r="AF386" s="69"/>
      <c r="AI386" s="46"/>
      <c r="AJ386" s="138"/>
      <c r="AK386" s="138"/>
      <c r="AL386" s="138"/>
      <c r="AM386" s="42"/>
      <c r="AO386" s="42"/>
      <c r="AQ386" s="43"/>
      <c r="AR386" s="43"/>
      <c r="AS386" s="44"/>
      <c r="AT386" s="44"/>
      <c r="AU386" s="44"/>
      <c r="AW386" s="42"/>
      <c r="AX386" s="42"/>
      <c r="AY386" s="45"/>
      <c r="AZ386" s="47"/>
      <c r="BG386" s="43"/>
      <c r="BI386" s="43"/>
      <c r="BJ386" s="43"/>
      <c r="BK386" s="43"/>
      <c r="BL386" s="43"/>
      <c r="BM386" s="43"/>
      <c r="BO386" s="43"/>
      <c r="BR386" s="43"/>
      <c r="BS386" s="43"/>
      <c r="BW386" s="43"/>
      <c r="CC386" s="43"/>
      <c r="CE386" s="43"/>
      <c r="CF386" s="43"/>
      <c r="CH386" s="43"/>
      <c r="CK386" s="43"/>
    </row>
    <row r="387" spans="2:89" x14ac:dyDescent="0.25">
      <c r="B387" s="89"/>
      <c r="C387" s="123"/>
      <c r="D387" s="47"/>
      <c r="E387" s="40"/>
      <c r="F387" s="43"/>
      <c r="G387" s="43"/>
      <c r="H387" s="41"/>
      <c r="I387" s="42"/>
      <c r="J387" s="42"/>
      <c r="K387" s="84"/>
      <c r="L387" s="45"/>
      <c r="M387" s="50"/>
      <c r="N387" s="42"/>
      <c r="O387" s="42"/>
      <c r="P387" s="223"/>
      <c r="Q387" s="42"/>
      <c r="R387" s="42"/>
      <c r="S387" s="42"/>
      <c r="T387" s="42"/>
      <c r="U387" s="67"/>
      <c r="V387" s="220"/>
      <c r="W387" s="48"/>
      <c r="X387" s="49"/>
      <c r="Y387" s="43"/>
      <c r="Z387" s="49"/>
      <c r="AA387" s="43"/>
      <c r="AB387" s="43"/>
      <c r="AC387" s="49"/>
      <c r="AE387" s="43"/>
      <c r="AF387" s="69"/>
      <c r="AI387" s="46"/>
      <c r="AJ387" s="138"/>
      <c r="AK387" s="138"/>
      <c r="AL387" s="138"/>
      <c r="AM387" s="42"/>
      <c r="AO387" s="42"/>
      <c r="AQ387" s="43"/>
      <c r="AR387" s="43"/>
      <c r="AS387" s="44"/>
      <c r="AT387" s="152"/>
      <c r="AU387" s="44"/>
      <c r="AW387" s="42"/>
      <c r="AX387" s="42"/>
      <c r="AY387" s="45"/>
      <c r="AZ387" s="47"/>
      <c r="BG387" s="43"/>
      <c r="BI387" s="43"/>
      <c r="BJ387" s="43"/>
      <c r="BK387" s="43"/>
      <c r="BL387" s="43"/>
      <c r="BM387" s="43"/>
      <c r="BO387" s="43"/>
      <c r="BR387" s="43"/>
      <c r="BS387" s="43"/>
      <c r="BW387" s="43"/>
      <c r="CC387" s="43"/>
      <c r="CE387" s="43"/>
      <c r="CF387" s="43"/>
      <c r="CH387" s="43"/>
      <c r="CK387" s="43"/>
    </row>
    <row r="388" spans="2:89" x14ac:dyDescent="0.25">
      <c r="B388" s="89"/>
      <c r="C388" s="123"/>
      <c r="D388" s="47"/>
      <c r="E388" s="40"/>
      <c r="F388" s="43"/>
      <c r="G388" s="43"/>
      <c r="H388" s="41"/>
      <c r="I388" s="42"/>
      <c r="J388" s="42"/>
      <c r="K388" s="84"/>
      <c r="L388" s="45"/>
      <c r="M388" s="50"/>
      <c r="N388" s="42"/>
      <c r="O388" s="42"/>
      <c r="P388" s="223"/>
      <c r="Q388" s="42"/>
      <c r="R388" s="42"/>
      <c r="S388" s="42"/>
      <c r="T388" s="42"/>
      <c r="U388" s="67"/>
      <c r="V388" s="220"/>
      <c r="W388" s="48"/>
      <c r="X388" s="49"/>
      <c r="Y388" s="43"/>
      <c r="Z388" s="49"/>
      <c r="AA388" s="43"/>
      <c r="AB388" s="43"/>
      <c r="AC388" s="49"/>
      <c r="AE388" s="43"/>
      <c r="AF388" s="69"/>
      <c r="AI388" s="46"/>
      <c r="AJ388" s="138"/>
      <c r="AK388" s="138"/>
      <c r="AL388" s="138"/>
      <c r="AM388" s="42"/>
      <c r="AO388" s="42"/>
      <c r="AQ388" s="43"/>
      <c r="AR388" s="43"/>
      <c r="AS388" s="44"/>
      <c r="AT388" s="152"/>
      <c r="AU388" s="44"/>
      <c r="AW388" s="42"/>
      <c r="AX388" s="42"/>
      <c r="AY388" s="45"/>
      <c r="AZ388" s="47"/>
      <c r="BG388" s="43"/>
      <c r="BI388" s="43"/>
      <c r="BJ388" s="43"/>
      <c r="BK388" s="43"/>
      <c r="BL388" s="43"/>
      <c r="BM388" s="43"/>
      <c r="BO388" s="43"/>
      <c r="BR388" s="43"/>
      <c r="BS388" s="43"/>
      <c r="BW388" s="43"/>
      <c r="CC388" s="43"/>
      <c r="CE388" s="43"/>
      <c r="CF388" s="43"/>
      <c r="CH388" s="43"/>
      <c r="CK388" s="43"/>
    </row>
    <row r="389" spans="2:89" x14ac:dyDescent="0.25">
      <c r="B389" s="89"/>
      <c r="C389" s="123"/>
      <c r="D389" s="47"/>
      <c r="E389" s="40"/>
      <c r="F389" s="43"/>
      <c r="G389" s="43"/>
      <c r="H389" s="41"/>
      <c r="I389" s="42"/>
      <c r="J389" s="42"/>
      <c r="K389" s="84"/>
      <c r="L389" s="45"/>
      <c r="M389" s="50"/>
      <c r="N389" s="42"/>
      <c r="O389" s="42"/>
      <c r="P389" s="223"/>
      <c r="Q389" s="42"/>
      <c r="R389" s="42"/>
      <c r="S389" s="42"/>
      <c r="T389" s="42"/>
      <c r="U389" s="67"/>
      <c r="V389" s="220"/>
      <c r="W389" s="48"/>
      <c r="X389" s="49"/>
      <c r="Y389" s="43"/>
      <c r="Z389" s="49"/>
      <c r="AA389" s="43"/>
      <c r="AB389" s="43"/>
      <c r="AC389" s="49"/>
      <c r="AE389" s="43"/>
      <c r="AF389" s="69"/>
      <c r="AI389" s="46"/>
      <c r="AJ389" s="138"/>
      <c r="AK389" s="138"/>
      <c r="AL389" s="138"/>
      <c r="AM389" s="42"/>
      <c r="AO389" s="42"/>
      <c r="AQ389" s="43"/>
      <c r="AR389" s="43"/>
      <c r="AS389" s="44"/>
      <c r="AT389" s="152"/>
      <c r="AU389" s="73"/>
      <c r="AW389" s="42"/>
      <c r="AX389" s="42"/>
      <c r="AY389" s="45"/>
      <c r="AZ389" s="47"/>
      <c r="BG389" s="43"/>
      <c r="BI389" s="43"/>
      <c r="BJ389" s="43"/>
      <c r="BK389" s="43"/>
      <c r="BL389" s="43"/>
      <c r="BM389" s="43"/>
      <c r="BO389" s="43"/>
      <c r="BR389" s="43"/>
      <c r="BS389" s="43"/>
      <c r="BW389" s="43"/>
      <c r="CC389" s="43"/>
      <c r="CE389" s="43"/>
      <c r="CF389" s="43"/>
      <c r="CH389" s="43"/>
      <c r="CK389" s="43"/>
    </row>
    <row r="390" spans="2:89" x14ac:dyDescent="0.25">
      <c r="B390" s="89"/>
      <c r="C390" s="125"/>
      <c r="D390" s="47"/>
      <c r="E390" s="40"/>
      <c r="F390" s="43"/>
      <c r="G390" s="43"/>
      <c r="H390" s="41"/>
      <c r="I390" s="75"/>
      <c r="J390" s="75"/>
      <c r="K390" s="85"/>
      <c r="L390" s="45"/>
      <c r="M390" s="50"/>
      <c r="N390" s="42"/>
      <c r="O390" s="42"/>
      <c r="P390" s="223"/>
      <c r="Q390" s="42"/>
      <c r="R390" s="42"/>
      <c r="S390" s="42"/>
      <c r="T390" s="42"/>
      <c r="U390" s="67"/>
      <c r="V390" s="220"/>
      <c r="W390" s="48"/>
      <c r="X390" s="49"/>
      <c r="Y390" s="43"/>
      <c r="Z390" s="49"/>
      <c r="AA390" s="43"/>
      <c r="AB390" s="43"/>
      <c r="AC390" s="49"/>
      <c r="AE390" s="43"/>
      <c r="AF390" s="69"/>
      <c r="AI390" s="46"/>
      <c r="AJ390" s="138"/>
      <c r="AK390" s="138"/>
      <c r="AL390" s="138"/>
      <c r="AM390" s="40"/>
      <c r="AN390" s="40"/>
      <c r="AO390" s="40"/>
      <c r="AP390" s="40"/>
      <c r="AQ390" s="43"/>
      <c r="AR390" s="43"/>
      <c r="AS390" s="73"/>
      <c r="AT390" s="73"/>
      <c r="AU390" s="44"/>
      <c r="AV390" s="72"/>
      <c r="AW390" s="40"/>
      <c r="AX390" s="40"/>
      <c r="AY390" s="74"/>
      <c r="AZ390" s="77"/>
      <c r="BG390" s="43"/>
      <c r="BI390" s="43"/>
      <c r="BJ390" s="43"/>
      <c r="BK390" s="43"/>
      <c r="BL390" s="43"/>
      <c r="BM390" s="43"/>
      <c r="BO390" s="43"/>
      <c r="BR390" s="43"/>
      <c r="BS390" s="43"/>
      <c r="BW390" s="43"/>
      <c r="CC390" s="43"/>
      <c r="CE390" s="43"/>
      <c r="CF390" s="43"/>
      <c r="CH390" s="43"/>
      <c r="CK390" s="43"/>
    </row>
    <row r="391" spans="2:89" x14ac:dyDescent="0.25">
      <c r="B391" s="89"/>
      <c r="C391" s="123"/>
      <c r="D391" s="47"/>
      <c r="E391" s="40"/>
      <c r="F391" s="43"/>
      <c r="G391" s="43"/>
      <c r="H391" s="41"/>
      <c r="I391" s="42"/>
      <c r="J391" s="42"/>
      <c r="K391" s="84"/>
      <c r="L391" s="45"/>
      <c r="M391" s="43"/>
      <c r="N391" s="42"/>
      <c r="O391" s="42"/>
      <c r="P391" s="229"/>
      <c r="Q391" s="42"/>
      <c r="R391" s="42"/>
      <c r="S391" s="42"/>
      <c r="T391" s="42"/>
      <c r="U391" s="67"/>
      <c r="V391" s="220"/>
      <c r="W391" s="48"/>
      <c r="X391" s="49"/>
      <c r="Y391" s="43"/>
      <c r="Z391" s="49"/>
      <c r="AA391" s="43"/>
      <c r="AB391" s="43"/>
      <c r="AC391" s="49"/>
      <c r="AE391" s="43"/>
      <c r="AF391" s="69"/>
      <c r="AI391" s="46"/>
      <c r="AJ391" s="138"/>
      <c r="AK391" s="138"/>
      <c r="AL391" s="138"/>
      <c r="AM391" s="42"/>
      <c r="AO391" s="42"/>
      <c r="AQ391" s="43"/>
      <c r="AR391" s="43"/>
      <c r="AS391" s="44"/>
      <c r="AT391" s="44"/>
      <c r="AU391" s="73"/>
      <c r="AW391" s="42"/>
      <c r="AX391" s="42"/>
      <c r="AY391" s="45"/>
      <c r="AZ391" s="47"/>
      <c r="BG391" s="43"/>
      <c r="BI391" s="43"/>
      <c r="BJ391" s="43"/>
      <c r="BK391" s="43"/>
      <c r="BL391" s="43"/>
      <c r="BM391" s="43"/>
      <c r="BO391" s="43"/>
      <c r="BR391" s="43"/>
      <c r="BS391" s="43"/>
      <c r="BW391" s="43"/>
      <c r="CC391" s="43"/>
      <c r="CE391" s="43"/>
      <c r="CF391" s="43"/>
      <c r="CH391" s="43"/>
      <c r="CK391" s="43"/>
    </row>
    <row r="392" spans="2:89" x14ac:dyDescent="0.25">
      <c r="B392" s="89"/>
      <c r="C392" s="123"/>
      <c r="D392" s="47"/>
      <c r="E392" s="40"/>
      <c r="F392" s="43"/>
      <c r="G392" s="43"/>
      <c r="H392" s="41"/>
      <c r="I392" s="42"/>
      <c r="J392" s="42"/>
      <c r="K392" s="84"/>
      <c r="L392" s="45"/>
      <c r="M392" s="43"/>
      <c r="N392" s="42"/>
      <c r="O392" s="42"/>
      <c r="P392" s="229"/>
      <c r="Q392" s="42"/>
      <c r="R392" s="42"/>
      <c r="S392" s="42"/>
      <c r="T392" s="42"/>
      <c r="U392" s="67"/>
      <c r="V392" s="220"/>
      <c r="W392" s="48"/>
      <c r="X392" s="49"/>
      <c r="Y392" s="43"/>
      <c r="Z392" s="49"/>
      <c r="AA392" s="43"/>
      <c r="AB392" s="43"/>
      <c r="AC392" s="49"/>
      <c r="AE392" s="43"/>
      <c r="AF392" s="69"/>
      <c r="AI392" s="46"/>
      <c r="AJ392" s="138"/>
      <c r="AK392" s="138"/>
      <c r="AL392" s="138"/>
      <c r="AM392" s="42"/>
      <c r="AO392" s="42"/>
      <c r="AQ392" s="43"/>
      <c r="AR392" s="43"/>
      <c r="AS392" s="44"/>
      <c r="AT392" s="44"/>
      <c r="AU392" s="73"/>
      <c r="AW392" s="42"/>
      <c r="AX392" s="42"/>
      <c r="AY392" s="45"/>
      <c r="AZ392" s="47"/>
      <c r="BG392" s="43"/>
      <c r="BI392" s="43"/>
      <c r="BJ392" s="43"/>
      <c r="BK392" s="43"/>
      <c r="BL392" s="43"/>
      <c r="BM392" s="43"/>
      <c r="BO392" s="43"/>
      <c r="BR392" s="43"/>
      <c r="BS392" s="43"/>
      <c r="BW392" s="43"/>
      <c r="CC392" s="43"/>
      <c r="CE392" s="43"/>
      <c r="CF392" s="43"/>
      <c r="CH392" s="43"/>
      <c r="CK392" s="43"/>
    </row>
    <row r="393" spans="2:89" x14ac:dyDescent="0.25">
      <c r="B393" s="89"/>
      <c r="C393" s="123"/>
      <c r="D393" s="47"/>
      <c r="E393" s="40"/>
      <c r="F393" s="43"/>
      <c r="G393" s="43"/>
      <c r="H393" s="41"/>
      <c r="I393" s="42"/>
      <c r="J393" s="42"/>
      <c r="K393" s="84"/>
      <c r="L393" s="45"/>
      <c r="M393" s="50"/>
      <c r="N393" s="42"/>
      <c r="O393" s="42"/>
      <c r="P393" s="42"/>
      <c r="Q393" s="42"/>
      <c r="R393" s="42"/>
      <c r="S393" s="42"/>
      <c r="T393" s="42"/>
      <c r="U393" s="67"/>
      <c r="V393" s="220"/>
      <c r="W393" s="48"/>
      <c r="X393" s="49"/>
      <c r="Y393" s="43"/>
      <c r="Z393" s="49"/>
      <c r="AA393" s="43"/>
      <c r="AB393" s="43"/>
      <c r="AC393" s="49"/>
      <c r="AE393" s="43"/>
      <c r="AF393" s="69"/>
      <c r="AI393" s="46"/>
      <c r="AJ393" s="138"/>
      <c r="AK393" s="138"/>
      <c r="AL393" s="138"/>
      <c r="AM393" s="42"/>
      <c r="AO393" s="42"/>
      <c r="AQ393" s="43"/>
      <c r="AR393" s="43"/>
      <c r="AS393" s="44"/>
      <c r="AT393" s="44"/>
      <c r="AU393" s="44"/>
      <c r="AW393" s="42"/>
      <c r="AX393" s="42"/>
      <c r="AY393" s="45"/>
      <c r="AZ393" s="47"/>
      <c r="BG393" s="43"/>
      <c r="BI393" s="43"/>
      <c r="BJ393" s="43"/>
      <c r="BK393" s="43"/>
      <c r="BL393" s="43"/>
      <c r="BM393" s="43"/>
      <c r="BO393" s="43"/>
      <c r="BR393" s="43"/>
      <c r="BS393" s="43"/>
      <c r="BW393" s="43"/>
      <c r="CC393" s="43"/>
      <c r="CE393" s="43"/>
      <c r="CF393" s="43"/>
      <c r="CH393" s="43"/>
      <c r="CK393" s="43"/>
    </row>
    <row r="394" spans="2:89" x14ac:dyDescent="0.25">
      <c r="B394" s="89"/>
      <c r="C394" s="123"/>
      <c r="D394" s="47"/>
      <c r="E394" s="40"/>
      <c r="F394" s="43"/>
      <c r="G394" s="43"/>
      <c r="H394" s="41"/>
      <c r="I394" s="42"/>
      <c r="J394" s="42"/>
      <c r="K394" s="84"/>
      <c r="L394" s="45"/>
      <c r="M394" s="50"/>
      <c r="N394" s="42"/>
      <c r="O394" s="42"/>
      <c r="P394" s="42"/>
      <c r="Q394" s="42"/>
      <c r="R394" s="42"/>
      <c r="S394" s="42"/>
      <c r="T394" s="42"/>
      <c r="U394" s="67"/>
      <c r="V394" s="220"/>
      <c r="W394" s="48"/>
      <c r="X394" s="49"/>
      <c r="Y394" s="43"/>
      <c r="Z394" s="49"/>
      <c r="AA394" s="43"/>
      <c r="AB394" s="43"/>
      <c r="AC394" s="49"/>
      <c r="AE394" s="43"/>
      <c r="AF394" s="69"/>
      <c r="AI394" s="46"/>
      <c r="AJ394" s="138"/>
      <c r="AK394" s="138"/>
      <c r="AL394" s="138"/>
      <c r="AM394" s="42"/>
      <c r="AO394" s="42"/>
      <c r="AQ394" s="43"/>
      <c r="AR394" s="43"/>
      <c r="AS394" s="44"/>
      <c r="AT394" s="44"/>
      <c r="AU394" s="44"/>
      <c r="AW394" s="42"/>
      <c r="AX394" s="42"/>
      <c r="AY394" s="45"/>
      <c r="AZ394" s="47"/>
      <c r="BG394" s="43"/>
      <c r="BI394" s="43"/>
      <c r="BJ394" s="43"/>
      <c r="BK394" s="43"/>
      <c r="BL394" s="43"/>
      <c r="BM394" s="43"/>
      <c r="BO394" s="43"/>
      <c r="BR394" s="43"/>
      <c r="BS394" s="43"/>
      <c r="BW394" s="43"/>
      <c r="CC394" s="43"/>
      <c r="CE394" s="43"/>
      <c r="CF394" s="43"/>
      <c r="CH394" s="43"/>
      <c r="CK394" s="43"/>
    </row>
    <row r="395" spans="2:89" x14ac:dyDescent="0.25">
      <c r="B395" s="107"/>
      <c r="C395" s="125"/>
      <c r="D395" s="47"/>
      <c r="E395" s="40"/>
      <c r="F395" s="43"/>
      <c r="G395" s="217"/>
      <c r="H395" s="108"/>
      <c r="I395" s="218"/>
      <c r="J395" s="218"/>
      <c r="K395" s="84"/>
      <c r="L395" s="45"/>
      <c r="M395" s="50"/>
      <c r="N395" s="42"/>
      <c r="O395" s="42"/>
      <c r="P395" s="42"/>
      <c r="Q395" s="42"/>
      <c r="R395" s="42"/>
      <c r="S395" s="42"/>
      <c r="T395" s="42"/>
      <c r="U395" s="110"/>
      <c r="V395" s="221"/>
      <c r="W395" s="48"/>
      <c r="X395" s="49"/>
      <c r="Y395" s="43"/>
      <c r="Z395" s="49"/>
      <c r="AA395" s="43"/>
      <c r="AB395" s="43"/>
      <c r="AC395" s="49"/>
      <c r="AE395" s="43"/>
      <c r="AF395" s="69"/>
      <c r="AG395" s="69"/>
      <c r="AI395" s="46"/>
      <c r="AJ395" s="138"/>
      <c r="AK395" s="138"/>
      <c r="AL395" s="138"/>
      <c r="AN395" s="43"/>
      <c r="AP395" s="43"/>
      <c r="AQ395" s="43"/>
      <c r="AR395" s="43"/>
      <c r="AU395" s="44"/>
      <c r="AX395" s="115"/>
      <c r="AY395" s="115"/>
      <c r="AZ395" s="131"/>
      <c r="BG395" s="43"/>
      <c r="BI395" s="43"/>
      <c r="BJ395" s="43"/>
      <c r="BK395" s="43"/>
      <c r="BL395" s="43"/>
      <c r="BM395" s="43"/>
      <c r="BO395" s="43"/>
      <c r="BR395" s="43"/>
      <c r="BS395" s="43"/>
      <c r="BW395" s="43"/>
      <c r="CC395" s="43"/>
      <c r="CE395" s="43"/>
      <c r="CF395" s="43"/>
      <c r="CH395" s="43"/>
      <c r="CK395" s="43"/>
    </row>
    <row r="396" spans="2:89" x14ac:dyDescent="0.25">
      <c r="B396" s="107"/>
      <c r="C396" s="125"/>
      <c r="D396" s="47"/>
      <c r="E396" s="40"/>
      <c r="F396" s="43"/>
      <c r="G396" s="215"/>
      <c r="H396" s="108"/>
      <c r="I396" s="216"/>
      <c r="J396" s="216"/>
      <c r="K396" s="109"/>
      <c r="L396" s="45"/>
      <c r="M396" s="50"/>
      <c r="N396" s="42"/>
      <c r="O396" s="42"/>
      <c r="P396" s="42"/>
      <c r="Q396" s="42"/>
      <c r="R396" s="42"/>
      <c r="S396" s="42"/>
      <c r="T396" s="42"/>
      <c r="U396" s="110"/>
      <c r="V396" s="221"/>
      <c r="W396" s="48"/>
      <c r="X396" s="49"/>
      <c r="Y396" s="43"/>
      <c r="Z396" s="49"/>
      <c r="AA396" s="43"/>
      <c r="AB396" s="43"/>
      <c r="AC396" s="49"/>
      <c r="AE396" s="43"/>
      <c r="AF396" s="69"/>
      <c r="AG396" s="69"/>
      <c r="AI396" s="46"/>
      <c r="AJ396" s="138"/>
      <c r="AK396" s="138"/>
      <c r="AL396" s="138"/>
      <c r="AN396" s="43"/>
      <c r="AP396" s="43"/>
      <c r="AQ396" s="43"/>
      <c r="AR396" s="43"/>
      <c r="AU396" s="44"/>
      <c r="AX396" s="114"/>
      <c r="AY396" s="114"/>
      <c r="AZ396" s="130"/>
      <c r="BG396" s="43"/>
      <c r="BI396" s="43"/>
      <c r="BJ396" s="43"/>
      <c r="BK396" s="43"/>
      <c r="BL396" s="43"/>
      <c r="BM396" s="43"/>
      <c r="BO396" s="43"/>
      <c r="BR396" s="43"/>
      <c r="BS396" s="43"/>
      <c r="BW396" s="43"/>
      <c r="CC396" s="43"/>
      <c r="CE396" s="43"/>
      <c r="CF396" s="43"/>
      <c r="CH396" s="43"/>
      <c r="CK396" s="43"/>
    </row>
    <row r="397" spans="2:89" x14ac:dyDescent="0.25">
      <c r="B397" s="89"/>
      <c r="C397" s="123"/>
      <c r="D397" s="47"/>
      <c r="E397" s="40"/>
      <c r="F397" s="43"/>
      <c r="G397" s="43"/>
      <c r="H397" s="41"/>
      <c r="I397" s="42"/>
      <c r="J397" s="42"/>
      <c r="K397" s="84"/>
      <c r="L397" s="45"/>
      <c r="M397" s="50"/>
      <c r="N397" s="42"/>
      <c r="O397" s="42"/>
      <c r="P397" s="42"/>
      <c r="Q397" s="42"/>
      <c r="R397" s="42"/>
      <c r="S397" s="42"/>
      <c r="T397" s="42"/>
      <c r="U397" s="67"/>
      <c r="V397" s="220"/>
      <c r="W397" s="48"/>
      <c r="X397" s="49"/>
      <c r="Y397" s="43"/>
      <c r="Z397" s="49"/>
      <c r="AA397" s="43"/>
      <c r="AB397" s="43"/>
      <c r="AC397" s="49"/>
      <c r="AE397" s="43"/>
      <c r="AF397" s="69"/>
      <c r="AI397" s="46"/>
      <c r="AJ397" s="138"/>
      <c r="AK397" s="138"/>
      <c r="AL397" s="138"/>
      <c r="AM397" s="42"/>
      <c r="AO397" s="42"/>
      <c r="AQ397" s="43"/>
      <c r="AR397" s="43"/>
      <c r="AS397" s="44"/>
      <c r="AT397" s="44"/>
      <c r="AU397" s="44"/>
      <c r="AW397" s="42"/>
      <c r="AX397" s="42"/>
      <c r="AY397" s="45"/>
      <c r="AZ397" s="47"/>
      <c r="BG397" s="43"/>
      <c r="BI397" s="43"/>
      <c r="BJ397" s="43"/>
      <c r="BK397" s="43"/>
      <c r="BL397" s="43"/>
      <c r="BM397" s="43"/>
      <c r="BO397" s="43"/>
      <c r="BR397" s="43"/>
      <c r="BS397" s="43"/>
      <c r="BW397" s="43"/>
      <c r="CC397" s="43"/>
      <c r="CE397" s="43"/>
      <c r="CF397" s="43"/>
      <c r="CH397" s="43"/>
      <c r="CK397" s="43"/>
    </row>
    <row r="398" spans="2:89" x14ac:dyDescent="0.25">
      <c r="B398" s="89"/>
      <c r="C398" s="123"/>
      <c r="D398" s="47"/>
      <c r="E398" s="40"/>
      <c r="F398" s="43"/>
      <c r="G398" s="43"/>
      <c r="H398" s="41"/>
      <c r="I398" s="42"/>
      <c r="J398" s="42"/>
      <c r="K398" s="84"/>
      <c r="L398" s="45"/>
      <c r="M398" s="50"/>
      <c r="N398" s="42"/>
      <c r="O398" s="42"/>
      <c r="P398" s="42"/>
      <c r="Q398" s="42"/>
      <c r="R398" s="42"/>
      <c r="S398" s="42"/>
      <c r="T398" s="42"/>
      <c r="U398" s="67"/>
      <c r="V398" s="220"/>
      <c r="W398" s="48"/>
      <c r="X398" s="49"/>
      <c r="Y398" s="43"/>
      <c r="Z398" s="49"/>
      <c r="AA398" s="43"/>
      <c r="AB398" s="43"/>
      <c r="AC398" s="49"/>
      <c r="AE398" s="43"/>
      <c r="AF398" s="69"/>
      <c r="AI398" s="46"/>
      <c r="AJ398" s="138"/>
      <c r="AK398" s="138"/>
      <c r="AL398" s="138"/>
      <c r="AM398" s="42"/>
      <c r="AO398" s="42"/>
      <c r="AQ398" s="43"/>
      <c r="AR398" s="43"/>
      <c r="AS398" s="44"/>
      <c r="AT398" s="44"/>
      <c r="AU398" s="44"/>
      <c r="AW398" s="42"/>
      <c r="AX398" s="42"/>
      <c r="AY398" s="45"/>
      <c r="AZ398" s="47"/>
      <c r="BG398" s="43"/>
      <c r="BI398" s="43"/>
      <c r="BJ398" s="43"/>
      <c r="BK398" s="43"/>
      <c r="BL398" s="43"/>
      <c r="BM398" s="43"/>
      <c r="BO398" s="43"/>
      <c r="BR398" s="43"/>
      <c r="BS398" s="43"/>
      <c r="BW398" s="43"/>
      <c r="CC398" s="43"/>
      <c r="CE398" s="43"/>
      <c r="CF398" s="43"/>
      <c r="CH398" s="43"/>
      <c r="CK398" s="43"/>
    </row>
    <row r="399" spans="2:89" x14ac:dyDescent="0.25">
      <c r="B399" s="89"/>
      <c r="C399" s="123"/>
      <c r="D399" s="47"/>
      <c r="E399" s="40"/>
      <c r="F399" s="43"/>
      <c r="G399" s="43"/>
      <c r="H399" s="41"/>
      <c r="I399" s="42"/>
      <c r="J399" s="42"/>
      <c r="K399" s="84"/>
      <c r="L399" s="45"/>
      <c r="M399" s="50"/>
      <c r="N399" s="42"/>
      <c r="O399" s="42"/>
      <c r="P399" s="42"/>
      <c r="Q399" s="42"/>
      <c r="R399" s="42"/>
      <c r="S399" s="42"/>
      <c r="T399" s="42"/>
      <c r="U399" s="67"/>
      <c r="V399" s="220"/>
      <c r="W399" s="48"/>
      <c r="X399" s="49"/>
      <c r="Y399" s="43"/>
      <c r="Z399" s="49"/>
      <c r="AA399" s="43"/>
      <c r="AB399" s="43"/>
      <c r="AC399" s="49"/>
      <c r="AE399" s="43"/>
      <c r="AF399" s="69"/>
      <c r="AI399" s="46"/>
      <c r="AJ399" s="138"/>
      <c r="AK399" s="138"/>
      <c r="AL399" s="138"/>
      <c r="AM399" s="42"/>
      <c r="AO399" s="42"/>
      <c r="AQ399" s="43"/>
      <c r="AR399" s="43"/>
      <c r="AS399" s="44"/>
      <c r="AT399" s="44"/>
      <c r="AU399" s="44"/>
      <c r="AW399" s="42"/>
      <c r="AX399" s="42"/>
      <c r="AY399" s="45"/>
      <c r="AZ399" s="47"/>
      <c r="BG399" s="43"/>
      <c r="BI399" s="43"/>
      <c r="BJ399" s="43"/>
      <c r="BK399" s="43"/>
      <c r="BL399" s="43"/>
      <c r="BM399" s="43"/>
      <c r="BO399" s="43"/>
      <c r="BR399" s="43"/>
      <c r="BS399" s="43"/>
      <c r="BW399" s="43"/>
      <c r="CC399" s="43"/>
      <c r="CE399" s="43"/>
      <c r="CF399" s="43"/>
      <c r="CH399" s="43"/>
      <c r="CK399" s="43"/>
    </row>
    <row r="400" spans="2:89" x14ac:dyDescent="0.25">
      <c r="B400" s="89"/>
      <c r="C400" s="123"/>
      <c r="D400" s="47"/>
      <c r="E400" s="40"/>
      <c r="F400" s="43"/>
      <c r="G400" s="43"/>
      <c r="H400" s="41"/>
      <c r="I400" s="42"/>
      <c r="J400" s="42"/>
      <c r="K400" s="84"/>
      <c r="L400" s="45"/>
      <c r="M400" s="43"/>
      <c r="N400" s="42"/>
      <c r="O400" s="42"/>
      <c r="P400" s="229"/>
      <c r="Q400" s="42"/>
      <c r="R400" s="42"/>
      <c r="S400" s="42"/>
      <c r="T400" s="42"/>
      <c r="U400" s="67"/>
      <c r="V400" s="220"/>
      <c r="W400" s="48"/>
      <c r="X400" s="49"/>
      <c r="Y400" s="43"/>
      <c r="Z400" s="49"/>
      <c r="AA400" s="43"/>
      <c r="AB400" s="43"/>
      <c r="AC400" s="49"/>
      <c r="AE400" s="43"/>
      <c r="AF400" s="69"/>
      <c r="AI400" s="46"/>
      <c r="AJ400" s="138"/>
      <c r="AK400" s="138"/>
      <c r="AL400" s="138"/>
      <c r="AM400" s="42"/>
      <c r="AO400" s="42"/>
      <c r="AQ400" s="43"/>
      <c r="AR400" s="43"/>
      <c r="AS400" s="44"/>
      <c r="AT400" s="152"/>
      <c r="AU400" s="44"/>
      <c r="AW400" s="42"/>
      <c r="AX400" s="42"/>
      <c r="AY400" s="45"/>
      <c r="AZ400" s="47"/>
      <c r="BG400" s="43"/>
      <c r="BI400" s="43"/>
      <c r="BJ400" s="43"/>
      <c r="BK400" s="43"/>
      <c r="BL400" s="43"/>
      <c r="BM400" s="43"/>
      <c r="BO400" s="43"/>
      <c r="BR400" s="43"/>
      <c r="BS400" s="43"/>
      <c r="BW400" s="43"/>
      <c r="CC400" s="43"/>
      <c r="CE400" s="43"/>
      <c r="CF400" s="43"/>
      <c r="CH400" s="43"/>
      <c r="CK400" s="43"/>
    </row>
    <row r="401" spans="2:89" x14ac:dyDescent="0.25">
      <c r="B401" s="89"/>
      <c r="C401" s="123"/>
      <c r="D401" s="47"/>
      <c r="E401" s="40"/>
      <c r="F401" s="43"/>
      <c r="G401" s="43"/>
      <c r="H401" s="41"/>
      <c r="I401" s="42"/>
      <c r="J401" s="42"/>
      <c r="K401" s="84"/>
      <c r="L401" s="45"/>
      <c r="M401" s="50"/>
      <c r="N401" s="42"/>
      <c r="O401" s="42"/>
      <c r="P401" s="223"/>
      <c r="Q401" s="42"/>
      <c r="R401" s="42"/>
      <c r="S401" s="42"/>
      <c r="T401" s="42"/>
      <c r="U401" s="67"/>
      <c r="V401" s="220"/>
      <c r="W401" s="48"/>
      <c r="X401" s="49"/>
      <c r="Y401" s="43"/>
      <c r="Z401" s="49"/>
      <c r="AA401" s="43"/>
      <c r="AB401" s="43"/>
      <c r="AC401" s="49"/>
      <c r="AE401" s="43"/>
      <c r="AF401" s="69"/>
      <c r="AI401" s="46"/>
      <c r="AJ401" s="138"/>
      <c r="AK401" s="138"/>
      <c r="AL401" s="138"/>
      <c r="AM401" s="42"/>
      <c r="AO401" s="42"/>
      <c r="AQ401" s="43"/>
      <c r="AR401" s="43"/>
      <c r="AS401" s="44"/>
      <c r="AT401" s="44"/>
      <c r="AU401" s="44"/>
      <c r="AW401" s="42"/>
      <c r="AX401" s="42"/>
      <c r="AY401" s="45"/>
      <c r="AZ401" s="47"/>
      <c r="BG401" s="43"/>
      <c r="BI401" s="43"/>
      <c r="BJ401" s="43"/>
      <c r="BK401" s="43"/>
      <c r="BL401" s="43"/>
      <c r="BM401" s="43"/>
      <c r="BO401" s="43"/>
      <c r="BR401" s="43"/>
      <c r="BS401" s="43"/>
      <c r="BW401" s="43"/>
      <c r="CC401" s="43"/>
      <c r="CE401" s="43"/>
      <c r="CF401" s="43"/>
      <c r="CH401" s="43"/>
      <c r="CK401" s="43"/>
    </row>
    <row r="402" spans="2:89" x14ac:dyDescent="0.25">
      <c r="B402" s="89"/>
      <c r="C402" s="123"/>
      <c r="D402" s="47"/>
      <c r="E402" s="40"/>
      <c r="F402" s="43"/>
      <c r="G402" s="43"/>
      <c r="H402" s="41"/>
      <c r="I402" s="42"/>
      <c r="J402" s="42"/>
      <c r="K402" s="84"/>
      <c r="L402" s="45"/>
      <c r="M402" s="50"/>
      <c r="N402" s="42"/>
      <c r="O402" s="42"/>
      <c r="P402" s="223"/>
      <c r="Q402" s="42"/>
      <c r="R402" s="42"/>
      <c r="S402" s="42"/>
      <c r="T402" s="42"/>
      <c r="U402" s="67"/>
      <c r="V402" s="222"/>
      <c r="W402" s="48"/>
      <c r="X402" s="49"/>
      <c r="Y402" s="43"/>
      <c r="Z402" s="49"/>
      <c r="AA402" s="43"/>
      <c r="AB402" s="43"/>
      <c r="AC402" s="49"/>
      <c r="AE402" s="43"/>
      <c r="AF402" s="69"/>
      <c r="AI402" s="46"/>
      <c r="AJ402" s="138"/>
      <c r="AK402" s="138"/>
      <c r="AL402" s="138"/>
      <c r="AM402" s="42"/>
      <c r="AO402" s="42"/>
      <c r="AQ402" s="43"/>
      <c r="AR402" s="43"/>
      <c r="AS402" s="44"/>
      <c r="AT402" s="44"/>
      <c r="AU402" s="44"/>
      <c r="AW402" s="42"/>
      <c r="AX402" s="42"/>
      <c r="AY402" s="45"/>
      <c r="AZ402" s="47"/>
      <c r="BG402" s="43"/>
      <c r="BI402" s="43"/>
      <c r="BJ402" s="43"/>
      <c r="BK402" s="43"/>
      <c r="BL402" s="43"/>
      <c r="BM402" s="43"/>
      <c r="BO402" s="43"/>
      <c r="BR402" s="43"/>
      <c r="BS402" s="43"/>
      <c r="BW402" s="43"/>
      <c r="CC402" s="43"/>
      <c r="CE402" s="43"/>
      <c r="CF402" s="43"/>
      <c r="CH402" s="43"/>
      <c r="CK402" s="43"/>
    </row>
    <row r="403" spans="2:89" x14ac:dyDescent="0.25">
      <c r="B403" s="89"/>
      <c r="C403" s="123"/>
      <c r="D403" s="47"/>
      <c r="E403" s="40"/>
      <c r="F403" s="43"/>
      <c r="G403" s="43"/>
      <c r="H403" s="41"/>
      <c r="I403" s="42"/>
      <c r="J403" s="42"/>
      <c r="K403" s="84"/>
      <c r="L403" s="45"/>
      <c r="M403" s="50"/>
      <c r="N403" s="42"/>
      <c r="O403" s="42"/>
      <c r="P403" s="229"/>
      <c r="Q403" s="42"/>
      <c r="R403" s="42"/>
      <c r="S403" s="42"/>
      <c r="T403" s="42"/>
      <c r="U403" s="67"/>
      <c r="V403" s="220"/>
      <c r="W403" s="48"/>
      <c r="X403" s="49"/>
      <c r="Y403" s="43"/>
      <c r="Z403" s="49"/>
      <c r="AA403" s="43"/>
      <c r="AB403" s="43"/>
      <c r="AC403" s="49"/>
      <c r="AE403" s="43"/>
      <c r="AF403" s="69"/>
      <c r="AI403" s="46"/>
      <c r="AJ403" s="138"/>
      <c r="AK403" s="138"/>
      <c r="AL403" s="138"/>
      <c r="AM403" s="42"/>
      <c r="AO403" s="42"/>
      <c r="AQ403" s="43"/>
      <c r="AR403" s="43"/>
      <c r="AS403" s="44"/>
      <c r="AT403" s="44"/>
      <c r="AU403" s="44"/>
      <c r="AW403" s="42"/>
      <c r="AX403" s="42"/>
      <c r="AY403" s="45"/>
      <c r="AZ403" s="47"/>
      <c r="BG403" s="43"/>
      <c r="BI403" s="43"/>
      <c r="BJ403" s="43"/>
      <c r="BK403" s="43"/>
      <c r="BL403" s="43"/>
      <c r="BM403" s="43"/>
      <c r="BO403" s="43"/>
      <c r="BR403" s="43"/>
      <c r="BS403" s="43"/>
      <c r="BW403" s="43"/>
      <c r="CC403" s="43"/>
      <c r="CE403" s="43"/>
      <c r="CF403" s="43"/>
      <c r="CH403" s="43"/>
      <c r="CK403" s="43"/>
    </row>
    <row r="404" spans="2:89" x14ac:dyDescent="0.25">
      <c r="B404" s="89"/>
      <c r="C404" s="123"/>
      <c r="D404" s="47"/>
      <c r="E404" s="40"/>
      <c r="F404" s="43"/>
      <c r="G404" s="43"/>
      <c r="H404" s="41"/>
      <c r="I404" s="42"/>
      <c r="J404" s="42"/>
      <c r="K404" s="84"/>
      <c r="L404" s="45"/>
      <c r="M404" s="50"/>
      <c r="N404" s="42"/>
      <c r="O404" s="42"/>
      <c r="P404" s="223"/>
      <c r="Q404" s="42"/>
      <c r="R404" s="42"/>
      <c r="S404" s="42"/>
      <c r="T404" s="42"/>
      <c r="U404" s="67"/>
      <c r="V404" s="220"/>
      <c r="W404" s="48"/>
      <c r="X404" s="49"/>
      <c r="Y404" s="43"/>
      <c r="Z404" s="49"/>
      <c r="AA404" s="43"/>
      <c r="AB404" s="43"/>
      <c r="AC404" s="49"/>
      <c r="AE404" s="43"/>
      <c r="AF404" s="69"/>
      <c r="AI404" s="46"/>
      <c r="AJ404" s="138"/>
      <c r="AK404" s="138"/>
      <c r="AL404" s="138"/>
      <c r="AM404" s="42"/>
      <c r="AO404" s="42"/>
      <c r="AQ404" s="43"/>
      <c r="AR404" s="43"/>
      <c r="AS404" s="44"/>
      <c r="AT404" s="44"/>
      <c r="AU404" s="44"/>
      <c r="AW404" s="42"/>
      <c r="AX404" s="42"/>
      <c r="AY404" s="45"/>
      <c r="AZ404" s="47"/>
      <c r="BG404" s="43"/>
      <c r="BI404" s="43"/>
      <c r="BJ404" s="43"/>
      <c r="BK404" s="43"/>
      <c r="BL404" s="43"/>
      <c r="BM404" s="43"/>
      <c r="BO404" s="43"/>
      <c r="BR404" s="43"/>
      <c r="BS404" s="43"/>
      <c r="BW404" s="43"/>
      <c r="CC404" s="43"/>
      <c r="CE404" s="43"/>
      <c r="CF404" s="43"/>
      <c r="CH404" s="43"/>
      <c r="CK404" s="43"/>
    </row>
    <row r="405" spans="2:89" x14ac:dyDescent="0.25">
      <c r="B405" s="89"/>
      <c r="C405" s="123"/>
      <c r="D405" s="47"/>
      <c r="E405" s="40"/>
      <c r="F405" s="43"/>
      <c r="G405" s="43"/>
      <c r="H405" s="41"/>
      <c r="I405" s="42"/>
      <c r="J405" s="42"/>
      <c r="K405" s="84"/>
      <c r="L405" s="45"/>
      <c r="M405" s="50"/>
      <c r="N405" s="42"/>
      <c r="O405" s="42"/>
      <c r="P405" s="223"/>
      <c r="Q405" s="42"/>
      <c r="R405" s="42"/>
      <c r="S405" s="42"/>
      <c r="T405" s="42"/>
      <c r="U405" s="67"/>
      <c r="V405" s="220"/>
      <c r="W405" s="48"/>
      <c r="X405" s="49"/>
      <c r="Y405" s="43"/>
      <c r="Z405" s="49"/>
      <c r="AA405" s="43"/>
      <c r="AB405" s="43"/>
      <c r="AC405" s="49"/>
      <c r="AE405" s="43"/>
      <c r="AF405" s="69"/>
      <c r="AI405" s="46"/>
      <c r="AJ405" s="138"/>
      <c r="AK405" s="138"/>
      <c r="AL405" s="138"/>
      <c r="AM405" s="42"/>
      <c r="AO405" s="42"/>
      <c r="AQ405" s="43"/>
      <c r="AR405" s="43"/>
      <c r="AS405" s="44"/>
      <c r="AT405" s="44"/>
      <c r="AU405" s="44"/>
      <c r="AW405" s="42"/>
      <c r="AX405" s="42"/>
      <c r="AY405" s="45"/>
      <c r="AZ405" s="47"/>
      <c r="BG405" s="43"/>
      <c r="BI405" s="43"/>
      <c r="BJ405" s="43"/>
      <c r="BK405" s="43"/>
      <c r="BL405" s="43"/>
      <c r="BM405" s="43"/>
      <c r="BO405" s="43"/>
      <c r="BR405" s="43"/>
      <c r="BS405" s="43"/>
      <c r="BW405" s="43"/>
      <c r="CC405" s="43"/>
      <c r="CE405" s="43"/>
      <c r="CF405" s="43"/>
      <c r="CH405" s="43"/>
      <c r="CK405" s="43"/>
    </row>
    <row r="406" spans="2:89" x14ac:dyDescent="0.25">
      <c r="B406" s="89"/>
      <c r="C406" s="123"/>
      <c r="D406" s="47"/>
      <c r="E406" s="40"/>
      <c r="F406" s="43"/>
      <c r="G406" s="43"/>
      <c r="H406" s="41"/>
      <c r="I406" s="42"/>
      <c r="J406" s="42"/>
      <c r="K406" s="84"/>
      <c r="L406" s="45"/>
      <c r="M406" s="43"/>
      <c r="N406" s="42"/>
      <c r="O406" s="42"/>
      <c r="P406" s="223"/>
      <c r="Q406" s="42"/>
      <c r="R406" s="42"/>
      <c r="S406" s="42"/>
      <c r="T406" s="42"/>
      <c r="U406" s="67"/>
      <c r="V406" s="220"/>
      <c r="W406" s="48"/>
      <c r="X406" s="49"/>
      <c r="Y406" s="43"/>
      <c r="Z406" s="49"/>
      <c r="AA406" s="43"/>
      <c r="AB406" s="43"/>
      <c r="AC406" s="49"/>
      <c r="AE406" s="43"/>
      <c r="AF406" s="69"/>
      <c r="AI406" s="46"/>
      <c r="AJ406" s="138"/>
      <c r="AK406" s="138"/>
      <c r="AL406" s="138"/>
      <c r="AM406" s="42"/>
      <c r="AO406" s="42"/>
      <c r="AQ406" s="43"/>
      <c r="AR406" s="43"/>
      <c r="AS406" s="44"/>
      <c r="AT406" s="44"/>
      <c r="AU406" s="44"/>
      <c r="AW406" s="42"/>
      <c r="AX406" s="42"/>
      <c r="AY406" s="45"/>
      <c r="AZ406" s="47"/>
      <c r="BG406" s="43"/>
      <c r="BI406" s="43"/>
      <c r="BJ406" s="43"/>
      <c r="BK406" s="43"/>
      <c r="BL406" s="43"/>
      <c r="BM406" s="43"/>
      <c r="BO406" s="43"/>
      <c r="BR406" s="43"/>
      <c r="BS406" s="43"/>
      <c r="BW406" s="43"/>
      <c r="CC406" s="43"/>
      <c r="CE406" s="43"/>
      <c r="CF406" s="43"/>
      <c r="CH406" s="43"/>
      <c r="CK406" s="43"/>
    </row>
    <row r="407" spans="2:89" x14ac:dyDescent="0.25">
      <c r="B407" s="89"/>
      <c r="C407" s="123"/>
      <c r="D407" s="47"/>
      <c r="E407" s="40"/>
      <c r="F407" s="43"/>
      <c r="G407" s="43"/>
      <c r="H407" s="41"/>
      <c r="I407" s="42"/>
      <c r="J407" s="42"/>
      <c r="K407" s="84"/>
      <c r="L407" s="45"/>
      <c r="M407" s="43"/>
      <c r="N407" s="42"/>
      <c r="O407" s="42"/>
      <c r="P407" s="225"/>
      <c r="Q407" s="42"/>
      <c r="R407" s="42"/>
      <c r="S407" s="42"/>
      <c r="T407" s="42"/>
      <c r="U407" s="67"/>
      <c r="V407" s="220"/>
      <c r="W407" s="48"/>
      <c r="X407" s="49"/>
      <c r="Y407" s="43"/>
      <c r="Z407" s="49"/>
      <c r="AA407" s="43"/>
      <c r="AB407" s="43"/>
      <c r="AC407" s="49"/>
      <c r="AE407" s="43"/>
      <c r="AF407" s="69"/>
      <c r="AI407" s="46"/>
      <c r="AJ407" s="138"/>
      <c r="AK407" s="138"/>
      <c r="AL407" s="138"/>
      <c r="AM407" s="42"/>
      <c r="AO407" s="42"/>
      <c r="AQ407" s="43"/>
      <c r="AR407" s="43"/>
      <c r="AS407" s="44"/>
      <c r="AT407" s="44"/>
      <c r="AU407" s="44"/>
      <c r="AW407" s="42"/>
      <c r="AX407" s="42"/>
      <c r="AY407" s="45"/>
      <c r="AZ407" s="47"/>
      <c r="BG407" s="43"/>
      <c r="BI407" s="43"/>
      <c r="BJ407" s="43"/>
      <c r="BK407" s="43"/>
      <c r="BL407" s="43"/>
      <c r="BM407" s="43"/>
      <c r="BO407" s="43"/>
      <c r="BR407" s="43"/>
      <c r="BS407" s="43"/>
      <c r="BW407" s="43"/>
      <c r="CC407" s="43"/>
      <c r="CE407" s="43"/>
      <c r="CF407" s="43"/>
      <c r="CH407" s="43"/>
      <c r="CK407" s="43"/>
    </row>
    <row r="408" spans="2:89" x14ac:dyDescent="0.25">
      <c r="B408" s="89"/>
      <c r="C408" s="123"/>
      <c r="D408" s="47"/>
      <c r="E408" s="40"/>
      <c r="F408" s="43"/>
      <c r="G408" s="43"/>
      <c r="H408" s="41"/>
      <c r="I408" s="42"/>
      <c r="J408" s="42"/>
      <c r="K408" s="84"/>
      <c r="L408" s="45"/>
      <c r="M408" s="43"/>
      <c r="N408" s="42"/>
      <c r="O408" s="42"/>
      <c r="P408" s="42"/>
      <c r="Q408" s="42"/>
      <c r="R408" s="42"/>
      <c r="S408" s="42"/>
      <c r="T408" s="42"/>
      <c r="U408" s="67"/>
      <c r="V408" s="220"/>
      <c r="W408" s="48"/>
      <c r="X408" s="49"/>
      <c r="Y408" s="43"/>
      <c r="Z408" s="49"/>
      <c r="AA408" s="43"/>
      <c r="AB408" s="43"/>
      <c r="AC408" s="49"/>
      <c r="AE408" s="43"/>
      <c r="AF408" s="69"/>
      <c r="AI408" s="46"/>
      <c r="AJ408" s="138"/>
      <c r="AK408" s="138"/>
      <c r="AL408" s="138"/>
      <c r="AM408" s="42"/>
      <c r="AO408" s="42"/>
      <c r="AQ408" s="43"/>
      <c r="AR408" s="43"/>
      <c r="AS408" s="44"/>
      <c r="AT408" s="44"/>
      <c r="AU408" s="44"/>
      <c r="AW408" s="42"/>
      <c r="AX408" s="42"/>
      <c r="AY408" s="45"/>
      <c r="AZ408" s="47"/>
      <c r="BG408" s="43"/>
      <c r="BI408" s="43"/>
      <c r="BJ408" s="43"/>
      <c r="BK408" s="43"/>
      <c r="BL408" s="43"/>
      <c r="BM408" s="43"/>
      <c r="BO408" s="43"/>
      <c r="BR408" s="43"/>
      <c r="BS408" s="43"/>
      <c r="BW408" s="43"/>
      <c r="CC408" s="43"/>
      <c r="CE408" s="43"/>
      <c r="CF408" s="43"/>
      <c r="CH408" s="43"/>
      <c r="CK408" s="43"/>
    </row>
    <row r="409" spans="2:89" x14ac:dyDescent="0.25">
      <c r="B409" s="194"/>
      <c r="C409" s="123"/>
      <c r="D409" s="47"/>
      <c r="E409" s="40"/>
      <c r="F409" s="111"/>
      <c r="G409" s="111"/>
      <c r="H409" s="41"/>
      <c r="I409" s="113"/>
      <c r="J409" s="113"/>
      <c r="K409" s="84"/>
      <c r="L409" s="45"/>
      <c r="M409" s="43"/>
      <c r="N409" s="42"/>
      <c r="O409" s="42"/>
      <c r="P409" s="42"/>
      <c r="Q409" s="42"/>
      <c r="R409" s="42"/>
      <c r="S409" s="227"/>
      <c r="T409" s="42"/>
      <c r="U409" s="196"/>
      <c r="V409" s="221"/>
      <c r="W409" s="48"/>
      <c r="X409" s="49"/>
      <c r="Y409" s="43"/>
      <c r="Z409" s="49"/>
      <c r="AA409" s="43"/>
      <c r="AB409" s="43"/>
      <c r="AC409" s="49"/>
      <c r="AE409" s="43"/>
      <c r="AF409" s="69"/>
      <c r="AG409" s="69"/>
      <c r="AI409" s="46"/>
      <c r="AJ409" s="139"/>
      <c r="AK409" s="198"/>
      <c r="AL409" s="198"/>
      <c r="AM409" s="74"/>
      <c r="AN409" s="74"/>
      <c r="AO409" s="74"/>
      <c r="AP409" s="74"/>
      <c r="AQ409" s="81"/>
      <c r="AR409" s="81"/>
      <c r="AS409" s="44"/>
      <c r="AT409" s="82"/>
      <c r="AU409" s="44"/>
      <c r="AV409" s="81"/>
      <c r="AW409" s="74"/>
      <c r="AX409" s="74"/>
      <c r="AY409" s="74"/>
      <c r="AZ409" s="83"/>
      <c r="BG409" s="43"/>
      <c r="BI409" s="43"/>
      <c r="BJ409" s="43"/>
      <c r="BK409" s="43"/>
      <c r="BL409" s="43"/>
      <c r="BM409" s="43"/>
      <c r="BO409" s="43"/>
      <c r="BR409" s="43"/>
      <c r="BS409" s="43"/>
      <c r="BW409" s="43"/>
      <c r="CC409" s="43"/>
      <c r="CE409" s="43"/>
      <c r="CF409" s="43"/>
      <c r="CH409" s="43"/>
      <c r="CK409" s="43"/>
    </row>
    <row r="410" spans="2:89" x14ac:dyDescent="0.25">
      <c r="B410" s="194"/>
      <c r="C410" s="123"/>
      <c r="D410" s="47"/>
      <c r="E410" s="40"/>
      <c r="F410" s="144"/>
      <c r="G410" s="144"/>
      <c r="H410" s="41"/>
      <c r="I410" s="204"/>
      <c r="J410" s="204"/>
      <c r="K410" s="84"/>
      <c r="L410" s="45"/>
      <c r="M410" s="43"/>
      <c r="N410" s="42"/>
      <c r="O410" s="42"/>
      <c r="P410" s="42"/>
      <c r="Q410" s="42"/>
      <c r="R410" s="42"/>
      <c r="S410" s="227"/>
      <c r="T410" s="42"/>
      <c r="U410" s="196"/>
      <c r="V410" s="221"/>
      <c r="W410" s="48"/>
      <c r="X410" s="49"/>
      <c r="Y410" s="43"/>
      <c r="Z410" s="49"/>
      <c r="AA410" s="43"/>
      <c r="AB410" s="43"/>
      <c r="AC410" s="49"/>
      <c r="AE410" s="43"/>
      <c r="AF410" s="69"/>
      <c r="AG410" s="69"/>
      <c r="AI410" s="46"/>
      <c r="AJ410" s="139"/>
      <c r="AK410" s="198"/>
      <c r="AL410" s="198"/>
      <c r="AM410" s="74"/>
      <c r="AN410" s="74"/>
      <c r="AO410" s="74"/>
      <c r="AP410" s="74"/>
      <c r="AQ410" s="81"/>
      <c r="AR410" s="81"/>
      <c r="AS410" s="44"/>
      <c r="AT410" s="82"/>
      <c r="AU410" s="44"/>
      <c r="AV410" s="81"/>
      <c r="AW410" s="74"/>
      <c r="AX410" s="74"/>
      <c r="AY410" s="74"/>
      <c r="AZ410" s="83"/>
      <c r="BG410" s="43"/>
      <c r="BI410" s="43"/>
      <c r="BJ410" s="43"/>
      <c r="BK410" s="43"/>
      <c r="BL410" s="43"/>
      <c r="BM410" s="43"/>
      <c r="BO410" s="43"/>
      <c r="BR410" s="43"/>
      <c r="BS410" s="43"/>
      <c r="BW410" s="43"/>
      <c r="CC410" s="43"/>
      <c r="CE410" s="43"/>
      <c r="CF410" s="43"/>
      <c r="CH410" s="43"/>
      <c r="CK410" s="43"/>
    </row>
    <row r="411" spans="2:89" x14ac:dyDescent="0.25">
      <c r="B411" s="194"/>
      <c r="C411" s="123"/>
      <c r="D411" s="47"/>
      <c r="E411" s="40"/>
      <c r="F411" s="111"/>
      <c r="G411" s="111"/>
      <c r="H411" s="41"/>
      <c r="I411" s="113"/>
      <c r="J411" s="113"/>
      <c r="K411" s="84"/>
      <c r="L411" s="45"/>
      <c r="M411" s="43"/>
      <c r="N411" s="42"/>
      <c r="O411" s="42"/>
      <c r="P411" s="42"/>
      <c r="Q411" s="42"/>
      <c r="R411" s="42"/>
      <c r="S411" s="227"/>
      <c r="T411" s="42"/>
      <c r="U411" s="196"/>
      <c r="V411" s="221"/>
      <c r="W411" s="48"/>
      <c r="X411" s="49"/>
      <c r="Y411" s="43"/>
      <c r="Z411" s="49"/>
      <c r="AA411" s="43"/>
      <c r="AB411" s="43"/>
      <c r="AC411" s="49"/>
      <c r="AE411" s="43"/>
      <c r="AF411" s="69"/>
      <c r="AG411" s="69"/>
      <c r="AI411" s="46"/>
      <c r="AJ411" s="139"/>
      <c r="AK411" s="198"/>
      <c r="AL411" s="198"/>
      <c r="AM411" s="74"/>
      <c r="AN411" s="74"/>
      <c r="AO411" s="74"/>
      <c r="AP411" s="74"/>
      <c r="AQ411" s="81"/>
      <c r="AR411" s="81"/>
      <c r="AS411" s="44"/>
      <c r="AT411" s="82"/>
      <c r="AU411" s="44"/>
      <c r="AV411" s="81"/>
      <c r="AW411" s="74"/>
      <c r="AX411" s="74"/>
      <c r="AY411" s="74"/>
      <c r="AZ411" s="83"/>
      <c r="BG411" s="43"/>
      <c r="BI411" s="43"/>
      <c r="BJ411" s="43"/>
      <c r="BK411" s="43"/>
      <c r="BL411" s="43"/>
      <c r="BM411" s="43"/>
      <c r="BO411" s="43"/>
      <c r="BR411" s="43"/>
      <c r="BS411" s="43"/>
      <c r="BW411" s="43"/>
      <c r="CC411" s="43"/>
      <c r="CE411" s="43"/>
      <c r="CF411" s="43"/>
      <c r="CH411" s="43"/>
      <c r="CK411" s="43"/>
    </row>
    <row r="412" spans="2:89" x14ac:dyDescent="0.25">
      <c r="B412" s="187"/>
      <c r="C412" s="127"/>
      <c r="D412" s="143"/>
      <c r="E412" s="40"/>
      <c r="F412" s="43"/>
      <c r="G412" s="43"/>
      <c r="H412" s="183"/>
      <c r="I412" s="204"/>
      <c r="J412" s="190"/>
      <c r="K412" s="184"/>
      <c r="L412" s="45"/>
      <c r="M412" s="206"/>
      <c r="N412" s="42"/>
      <c r="O412" s="42"/>
      <c r="P412" s="42"/>
      <c r="Q412" s="42"/>
      <c r="R412" s="42"/>
      <c r="S412" s="227"/>
      <c r="T412" s="42"/>
      <c r="U412" s="185"/>
      <c r="V412" s="221"/>
      <c r="W412" s="48"/>
      <c r="X412" s="49"/>
      <c r="Y412" s="43"/>
      <c r="Z412" s="49"/>
      <c r="AA412" s="43"/>
      <c r="AB412" s="43"/>
      <c r="AC412" s="49"/>
      <c r="AE412" s="43"/>
      <c r="AF412" s="69"/>
      <c r="AG412" s="69"/>
      <c r="AI412" s="46"/>
      <c r="AJ412" s="138"/>
      <c r="AK412" s="186"/>
      <c r="AL412" s="186"/>
      <c r="AM412" s="74"/>
      <c r="AN412" s="74"/>
      <c r="AO412" s="74"/>
      <c r="AP412" s="74"/>
      <c r="AQ412" s="81"/>
      <c r="AR412" s="81"/>
      <c r="AS412" s="82"/>
      <c r="AT412" s="82"/>
      <c r="AU412" s="44"/>
      <c r="AV412" s="81"/>
      <c r="AW412" s="74"/>
      <c r="AX412" s="74"/>
      <c r="AY412" s="74"/>
      <c r="AZ412" s="83"/>
      <c r="BG412" s="43"/>
      <c r="BI412" s="43"/>
      <c r="BJ412" s="43"/>
      <c r="BK412" s="43"/>
      <c r="BL412" s="43"/>
      <c r="BM412" s="43"/>
      <c r="BO412" s="43"/>
      <c r="BR412" s="43"/>
      <c r="BS412" s="43"/>
      <c r="BW412" s="43"/>
      <c r="CC412" s="43"/>
      <c r="CE412" s="43"/>
      <c r="CF412" s="43"/>
      <c r="CH412" s="43"/>
      <c r="CK412" s="43"/>
    </row>
    <row r="413" spans="2:89" x14ac:dyDescent="0.25">
      <c r="B413" s="89"/>
      <c r="C413" s="123"/>
      <c r="D413" s="47"/>
      <c r="E413" s="40"/>
      <c r="F413" s="43"/>
      <c r="G413" s="43"/>
      <c r="H413" s="41"/>
      <c r="I413" s="42"/>
      <c r="J413" s="42"/>
      <c r="K413" s="84"/>
      <c r="L413" s="45"/>
      <c r="M413" s="50"/>
      <c r="N413" s="42"/>
      <c r="O413" s="42"/>
      <c r="P413" s="42"/>
      <c r="Q413" s="42"/>
      <c r="R413" s="42"/>
      <c r="S413" s="42"/>
      <c r="T413" s="42"/>
      <c r="U413" s="67"/>
      <c r="V413" s="220"/>
      <c r="W413" s="48"/>
      <c r="X413" s="49"/>
      <c r="Y413" s="43"/>
      <c r="Z413" s="49"/>
      <c r="AA413" s="43"/>
      <c r="AB413" s="43"/>
      <c r="AC413" s="49"/>
      <c r="AE413" s="43"/>
      <c r="AF413" s="69"/>
      <c r="AI413" s="46"/>
      <c r="AJ413" s="138"/>
      <c r="AK413" s="138"/>
      <c r="AL413" s="138"/>
      <c r="AM413" s="42"/>
      <c r="AO413" s="42"/>
      <c r="AQ413" s="43"/>
      <c r="AR413" s="43"/>
      <c r="AS413" s="44"/>
      <c r="AT413" s="44"/>
      <c r="AU413" s="44"/>
      <c r="AW413" s="42"/>
      <c r="AX413" s="42"/>
      <c r="AY413" s="45"/>
      <c r="AZ413" s="47"/>
      <c r="BG413" s="43"/>
      <c r="BI413" s="43"/>
      <c r="BJ413" s="43"/>
      <c r="BK413" s="43"/>
      <c r="BL413" s="43"/>
      <c r="BM413" s="43"/>
      <c r="BO413" s="43"/>
      <c r="BR413" s="43"/>
      <c r="BS413" s="43"/>
      <c r="BW413" s="43"/>
      <c r="CC413" s="43"/>
      <c r="CE413" s="43"/>
      <c r="CF413" s="43"/>
      <c r="CH413" s="43"/>
      <c r="CK413" s="43"/>
    </row>
    <row r="414" spans="2:89" x14ac:dyDescent="0.25">
      <c r="B414" s="89"/>
      <c r="C414" s="123"/>
      <c r="D414" s="47"/>
      <c r="E414" s="40"/>
      <c r="F414" s="43"/>
      <c r="G414" s="43"/>
      <c r="H414" s="41"/>
      <c r="I414" s="42"/>
      <c r="J414" s="42"/>
      <c r="K414" s="84"/>
      <c r="L414" s="45"/>
      <c r="M414" s="50"/>
      <c r="N414" s="42"/>
      <c r="O414" s="42"/>
      <c r="P414" s="42"/>
      <c r="Q414" s="42"/>
      <c r="R414" s="42"/>
      <c r="S414" s="42"/>
      <c r="T414" s="42"/>
      <c r="U414" s="67"/>
      <c r="V414" s="220"/>
      <c r="W414" s="48"/>
      <c r="X414" s="49"/>
      <c r="Y414" s="43"/>
      <c r="Z414" s="49"/>
      <c r="AA414" s="43"/>
      <c r="AB414" s="43"/>
      <c r="AC414" s="49"/>
      <c r="AE414" s="43"/>
      <c r="AF414" s="69"/>
      <c r="AI414" s="46"/>
      <c r="AJ414" s="138"/>
      <c r="AK414" s="138"/>
      <c r="AL414" s="138"/>
      <c r="AM414" s="42"/>
      <c r="AO414" s="42"/>
      <c r="AQ414" s="43"/>
      <c r="AR414" s="43"/>
      <c r="AS414" s="44"/>
      <c r="AT414" s="44"/>
      <c r="AU414" s="44"/>
      <c r="AW414" s="42"/>
      <c r="AX414" s="42"/>
      <c r="AY414" s="45"/>
      <c r="AZ414" s="47"/>
      <c r="BG414" s="43"/>
      <c r="BI414" s="43"/>
      <c r="BJ414" s="43"/>
      <c r="BK414" s="43"/>
      <c r="BL414" s="43"/>
      <c r="BM414" s="43"/>
      <c r="BO414" s="43"/>
      <c r="BR414" s="43"/>
      <c r="BS414" s="43"/>
      <c r="BW414" s="43"/>
      <c r="CC414" s="43"/>
      <c r="CE414" s="43"/>
      <c r="CF414" s="43"/>
      <c r="CH414" s="43"/>
      <c r="CK414" s="43"/>
    </row>
    <row r="415" spans="2:89" x14ac:dyDescent="0.25">
      <c r="B415" s="89"/>
      <c r="C415" s="123"/>
      <c r="D415" s="47"/>
      <c r="E415" s="40"/>
      <c r="F415" s="43"/>
      <c r="G415" s="43"/>
      <c r="H415" s="41"/>
      <c r="I415" s="42"/>
      <c r="J415" s="42"/>
      <c r="K415" s="84"/>
      <c r="L415" s="45"/>
      <c r="M415" s="50"/>
      <c r="N415" s="42"/>
      <c r="O415" s="42"/>
      <c r="P415" s="42"/>
      <c r="Q415" s="42"/>
      <c r="R415" s="42"/>
      <c r="S415" s="42"/>
      <c r="T415" s="42"/>
      <c r="U415" s="67"/>
      <c r="V415" s="220"/>
      <c r="W415" s="48"/>
      <c r="X415" s="49"/>
      <c r="Y415" s="43"/>
      <c r="Z415" s="49"/>
      <c r="AA415" s="43"/>
      <c r="AB415" s="43"/>
      <c r="AC415" s="49"/>
      <c r="AE415" s="43"/>
      <c r="AF415" s="69"/>
      <c r="AI415" s="46"/>
      <c r="AJ415" s="138"/>
      <c r="AK415" s="138"/>
      <c r="AL415" s="138"/>
      <c r="AM415" s="42"/>
      <c r="AO415" s="42"/>
      <c r="AQ415" s="43"/>
      <c r="AR415" s="43"/>
      <c r="AS415" s="44"/>
      <c r="AT415" s="44"/>
      <c r="AU415" s="44"/>
      <c r="AW415" s="42"/>
      <c r="AX415" s="42"/>
      <c r="AY415" s="45"/>
      <c r="AZ415" s="47"/>
      <c r="BG415" s="43"/>
      <c r="BI415" s="43"/>
      <c r="BJ415" s="43"/>
      <c r="BK415" s="43"/>
      <c r="BL415" s="43"/>
      <c r="BM415" s="43"/>
      <c r="BO415" s="43"/>
      <c r="BR415" s="43"/>
      <c r="BS415" s="43"/>
      <c r="BW415" s="43"/>
      <c r="CC415" s="43"/>
      <c r="CE415" s="43"/>
      <c r="CF415" s="43"/>
      <c r="CH415" s="43"/>
      <c r="CK415" s="43"/>
    </row>
    <row r="416" spans="2:89" x14ac:dyDescent="0.25">
      <c r="B416" s="89"/>
      <c r="C416" s="123"/>
      <c r="D416" s="47"/>
      <c r="E416" s="40"/>
      <c r="F416" s="43"/>
      <c r="G416" s="43"/>
      <c r="H416" s="41"/>
      <c r="I416" s="42"/>
      <c r="J416" s="42"/>
      <c r="K416" s="84"/>
      <c r="L416" s="45"/>
      <c r="M416" s="43"/>
      <c r="N416" s="42"/>
      <c r="O416" s="42"/>
      <c r="P416" s="229"/>
      <c r="Q416" s="42"/>
      <c r="R416" s="42"/>
      <c r="S416" s="42"/>
      <c r="T416" s="42"/>
      <c r="U416" s="67"/>
      <c r="V416" s="220"/>
      <c r="W416" s="48"/>
      <c r="X416" s="49"/>
      <c r="Y416" s="43"/>
      <c r="Z416" s="49"/>
      <c r="AA416" s="43"/>
      <c r="AB416" s="43"/>
      <c r="AC416" s="49"/>
      <c r="AE416" s="43"/>
      <c r="AF416" s="69"/>
      <c r="AI416" s="46"/>
      <c r="AJ416" s="138"/>
      <c r="AK416" s="138"/>
      <c r="AL416" s="138"/>
      <c r="AM416" s="42"/>
      <c r="AO416" s="42"/>
      <c r="AQ416" s="43"/>
      <c r="AR416" s="43"/>
      <c r="AS416" s="44"/>
      <c r="AT416" s="44"/>
      <c r="AU416" s="44"/>
      <c r="AW416" s="42"/>
      <c r="AX416" s="42"/>
      <c r="AY416" s="45"/>
      <c r="AZ416" s="47"/>
      <c r="BG416" s="43"/>
      <c r="BI416" s="43"/>
      <c r="BJ416" s="43"/>
      <c r="BK416" s="43"/>
      <c r="BL416" s="43"/>
      <c r="BM416" s="43"/>
      <c r="BO416" s="43"/>
      <c r="BR416" s="43"/>
      <c r="BS416" s="43"/>
      <c r="BW416" s="43"/>
      <c r="CC416" s="43"/>
      <c r="CE416" s="43"/>
      <c r="CF416" s="43"/>
      <c r="CH416" s="43"/>
      <c r="CK416" s="43"/>
    </row>
    <row r="417" spans="2:89" x14ac:dyDescent="0.25">
      <c r="B417" s="89"/>
      <c r="C417" s="123"/>
      <c r="D417" s="47"/>
      <c r="E417" s="40"/>
      <c r="F417" s="43"/>
      <c r="G417" s="43"/>
      <c r="H417" s="41"/>
      <c r="I417" s="42"/>
      <c r="J417" s="42"/>
      <c r="K417" s="84"/>
      <c r="L417" s="45"/>
      <c r="M417" s="43"/>
      <c r="N417" s="42"/>
      <c r="O417" s="42"/>
      <c r="P417" s="223"/>
      <c r="Q417" s="42"/>
      <c r="R417" s="42"/>
      <c r="S417" s="42"/>
      <c r="T417" s="42"/>
      <c r="U417" s="67"/>
      <c r="V417" s="220"/>
      <c r="W417" s="48"/>
      <c r="X417" s="49"/>
      <c r="Y417" s="43"/>
      <c r="Z417" s="49"/>
      <c r="AA417" s="43"/>
      <c r="AB417" s="43"/>
      <c r="AC417" s="49"/>
      <c r="AE417" s="43"/>
      <c r="AF417" s="69"/>
      <c r="AI417" s="46"/>
      <c r="AJ417" s="138"/>
      <c r="AK417" s="138"/>
      <c r="AL417" s="138"/>
      <c r="AM417" s="42"/>
      <c r="AO417" s="42"/>
      <c r="AQ417" s="43"/>
      <c r="AR417" s="43"/>
      <c r="AS417" s="44"/>
      <c r="AT417" s="44"/>
      <c r="AU417" s="44"/>
      <c r="AW417" s="42"/>
      <c r="AX417" s="42"/>
      <c r="AY417" s="45"/>
      <c r="AZ417" s="47"/>
      <c r="BG417" s="43"/>
      <c r="BI417" s="43"/>
      <c r="BJ417" s="43"/>
      <c r="BK417" s="43"/>
      <c r="BL417" s="43"/>
      <c r="BM417" s="43"/>
      <c r="BO417" s="43"/>
      <c r="BR417" s="43"/>
      <c r="BS417" s="43"/>
      <c r="BW417" s="43"/>
      <c r="CC417" s="43"/>
      <c r="CE417" s="43"/>
      <c r="CF417" s="43"/>
      <c r="CH417" s="43"/>
      <c r="CK417" s="43"/>
    </row>
    <row r="418" spans="2:89" ht="15.75" customHeight="1" x14ac:dyDescent="0.25">
      <c r="B418" s="89"/>
      <c r="C418" s="123"/>
      <c r="D418" s="47"/>
      <c r="E418" s="40"/>
      <c r="F418" s="43"/>
      <c r="G418" s="43"/>
      <c r="H418" s="41"/>
      <c r="I418" s="42"/>
      <c r="J418" s="42"/>
      <c r="K418" s="84"/>
      <c r="L418" s="45"/>
      <c r="M418" s="43"/>
      <c r="N418" s="42"/>
      <c r="O418" s="42"/>
      <c r="P418" s="229"/>
      <c r="Q418" s="42"/>
      <c r="R418" s="42"/>
      <c r="S418" s="42"/>
      <c r="T418" s="42"/>
      <c r="U418" s="67"/>
      <c r="V418" s="220"/>
      <c r="W418" s="48"/>
      <c r="X418" s="49"/>
      <c r="Y418" s="43"/>
      <c r="Z418" s="49"/>
      <c r="AA418" s="43"/>
      <c r="AB418" s="43"/>
      <c r="AC418" s="49"/>
      <c r="AE418" s="43"/>
      <c r="AF418" s="69"/>
      <c r="AI418" s="46"/>
      <c r="AJ418" s="138"/>
      <c r="AK418" s="138"/>
      <c r="AL418" s="138"/>
      <c r="AM418" s="42"/>
      <c r="AO418" s="42"/>
      <c r="AQ418" s="43"/>
      <c r="AR418" s="43"/>
      <c r="AS418" s="44"/>
      <c r="AT418" s="44"/>
      <c r="AU418" s="44"/>
      <c r="AW418" s="42"/>
      <c r="AX418" s="42"/>
      <c r="AY418" s="45"/>
      <c r="AZ418" s="47"/>
      <c r="BG418" s="43"/>
      <c r="BI418" s="43"/>
      <c r="BJ418" s="43"/>
      <c r="BK418" s="43"/>
      <c r="BL418" s="43"/>
      <c r="BM418" s="43"/>
      <c r="BO418" s="43"/>
      <c r="BR418" s="43"/>
      <c r="BS418" s="43"/>
      <c r="BW418" s="43"/>
      <c r="CC418" s="43"/>
      <c r="CE418" s="43"/>
      <c r="CF418" s="43"/>
      <c r="CH418" s="43"/>
      <c r="CK418" s="43"/>
    </row>
    <row r="419" spans="2:89" x14ac:dyDescent="0.25">
      <c r="B419" s="89"/>
      <c r="C419" s="123"/>
      <c r="D419" s="47"/>
      <c r="E419" s="40"/>
      <c r="F419" s="43"/>
      <c r="G419" s="43"/>
      <c r="H419" s="41"/>
      <c r="I419" s="42"/>
      <c r="J419" s="42"/>
      <c r="K419" s="84"/>
      <c r="L419" s="45"/>
      <c r="M419" s="50"/>
      <c r="N419" s="42"/>
      <c r="O419" s="42"/>
      <c r="P419" s="223"/>
      <c r="Q419" s="42"/>
      <c r="R419" s="42"/>
      <c r="S419" s="42"/>
      <c r="T419" s="42"/>
      <c r="U419" s="67"/>
      <c r="V419" s="220"/>
      <c r="W419" s="48"/>
      <c r="X419" s="49"/>
      <c r="Y419" s="43"/>
      <c r="Z419" s="49"/>
      <c r="AA419" s="43"/>
      <c r="AB419" s="43"/>
      <c r="AC419" s="49"/>
      <c r="AE419" s="43"/>
      <c r="AF419" s="69"/>
      <c r="AI419" s="46"/>
      <c r="AJ419" s="138"/>
      <c r="AK419" s="138"/>
      <c r="AL419" s="138"/>
      <c r="AM419" s="42"/>
      <c r="AO419" s="42"/>
      <c r="AQ419" s="43"/>
      <c r="AR419" s="43"/>
      <c r="AS419" s="44"/>
      <c r="AT419" s="44"/>
      <c r="AU419" s="44"/>
      <c r="AW419" s="42"/>
      <c r="AX419" s="42"/>
      <c r="AY419" s="45"/>
      <c r="AZ419" s="47"/>
      <c r="BG419" s="43"/>
      <c r="BI419" s="43"/>
      <c r="BJ419" s="43"/>
      <c r="BK419" s="43"/>
      <c r="BL419" s="43"/>
      <c r="BM419" s="43"/>
      <c r="BO419" s="43"/>
      <c r="BR419" s="43"/>
      <c r="BS419" s="43"/>
      <c r="BW419" s="43"/>
      <c r="CC419" s="43"/>
      <c r="CE419" s="43"/>
      <c r="CF419" s="43"/>
      <c r="CH419" s="43"/>
      <c r="CK419" s="43"/>
    </row>
    <row r="420" spans="2:89" x14ac:dyDescent="0.25">
      <c r="B420" s="89"/>
      <c r="C420" s="123"/>
      <c r="D420" s="47"/>
      <c r="E420" s="40"/>
      <c r="F420" s="43"/>
      <c r="G420" s="43"/>
      <c r="H420" s="41"/>
      <c r="I420" s="42"/>
      <c r="J420" s="42"/>
      <c r="K420" s="84"/>
      <c r="L420" s="45"/>
      <c r="M420" s="43"/>
      <c r="N420" s="42"/>
      <c r="O420" s="42"/>
      <c r="P420" s="223"/>
      <c r="Q420" s="42"/>
      <c r="R420" s="42"/>
      <c r="S420" s="42"/>
      <c r="T420" s="42"/>
      <c r="U420" s="67"/>
      <c r="V420" s="220"/>
      <c r="W420" s="48"/>
      <c r="X420" s="49"/>
      <c r="Y420" s="43"/>
      <c r="Z420" s="49"/>
      <c r="AA420" s="43"/>
      <c r="AB420" s="43"/>
      <c r="AC420" s="49"/>
      <c r="AE420" s="43"/>
      <c r="AF420" s="69"/>
      <c r="AI420" s="46"/>
      <c r="AJ420" s="138"/>
      <c r="AK420" s="138"/>
      <c r="AL420" s="138"/>
      <c r="AM420" s="42"/>
      <c r="AO420" s="42"/>
      <c r="AQ420" s="43"/>
      <c r="AR420" s="43"/>
      <c r="AS420" s="44"/>
      <c r="AT420" s="44"/>
      <c r="AU420" s="44"/>
      <c r="AW420" s="42"/>
      <c r="AX420" s="42"/>
      <c r="AY420" s="45"/>
      <c r="AZ420" s="47"/>
      <c r="BG420" s="43"/>
      <c r="BI420" s="43"/>
      <c r="BJ420" s="43"/>
      <c r="BK420" s="43"/>
      <c r="BL420" s="43"/>
      <c r="BM420" s="43"/>
      <c r="BO420" s="43"/>
      <c r="BR420" s="43"/>
      <c r="BS420" s="43"/>
      <c r="BW420" s="43"/>
      <c r="CC420" s="43"/>
      <c r="CE420" s="43"/>
      <c r="CF420" s="43"/>
      <c r="CH420" s="43"/>
      <c r="CK420" s="43"/>
    </row>
    <row r="421" spans="2:89" x14ac:dyDescent="0.25">
      <c r="B421" s="89"/>
      <c r="C421" s="123"/>
      <c r="D421" s="47"/>
      <c r="E421" s="40"/>
      <c r="F421" s="43"/>
      <c r="G421" s="43"/>
      <c r="H421" s="41"/>
      <c r="I421" s="42"/>
      <c r="J421" s="42"/>
      <c r="K421" s="84"/>
      <c r="L421" s="45"/>
      <c r="M421" s="43"/>
      <c r="N421" s="42"/>
      <c r="O421" s="42"/>
      <c r="P421" s="229"/>
      <c r="Q421" s="42"/>
      <c r="R421" s="42"/>
      <c r="S421" s="42"/>
      <c r="T421" s="42"/>
      <c r="U421" s="67"/>
      <c r="V421" s="220"/>
      <c r="W421" s="48"/>
      <c r="X421" s="49"/>
      <c r="Y421" s="43"/>
      <c r="Z421" s="49"/>
      <c r="AA421" s="43"/>
      <c r="AB421" s="43"/>
      <c r="AC421" s="49"/>
      <c r="AE421" s="43"/>
      <c r="AF421" s="69"/>
      <c r="AI421" s="46"/>
      <c r="AJ421" s="138"/>
      <c r="AK421" s="138"/>
      <c r="AL421" s="138"/>
      <c r="AM421" s="42"/>
      <c r="AO421" s="42"/>
      <c r="AQ421" s="43"/>
      <c r="AR421" s="43"/>
      <c r="AS421" s="44"/>
      <c r="AT421" s="44"/>
      <c r="AU421" s="44"/>
      <c r="AW421" s="42"/>
      <c r="AX421" s="42"/>
      <c r="AY421" s="45"/>
      <c r="AZ421" s="47"/>
      <c r="BG421" s="43"/>
      <c r="BI421" s="43"/>
      <c r="BJ421" s="43"/>
      <c r="BK421" s="43"/>
      <c r="BL421" s="43"/>
      <c r="BM421" s="43"/>
      <c r="BO421" s="43"/>
      <c r="BR421" s="43"/>
      <c r="BS421" s="43"/>
      <c r="BW421" s="43"/>
      <c r="CC421" s="43"/>
      <c r="CE421" s="43"/>
      <c r="CF421" s="43"/>
      <c r="CH421" s="43"/>
      <c r="CK421" s="43"/>
    </row>
    <row r="422" spans="2:89" x14ac:dyDescent="0.25">
      <c r="B422" s="89"/>
      <c r="C422" s="123"/>
      <c r="D422" s="47"/>
      <c r="E422" s="40"/>
      <c r="F422" s="43"/>
      <c r="G422" s="43"/>
      <c r="H422" s="41"/>
      <c r="I422" s="42"/>
      <c r="J422" s="42"/>
      <c r="K422" s="84"/>
      <c r="L422" s="45"/>
      <c r="M422" s="43"/>
      <c r="N422" s="42"/>
      <c r="O422" s="42"/>
      <c r="P422" s="229"/>
      <c r="Q422" s="42"/>
      <c r="R422" s="42"/>
      <c r="S422" s="42"/>
      <c r="T422" s="42"/>
      <c r="U422" s="67"/>
      <c r="V422" s="220"/>
      <c r="W422" s="48"/>
      <c r="X422" s="49"/>
      <c r="Y422" s="43"/>
      <c r="Z422" s="49"/>
      <c r="AA422" s="43"/>
      <c r="AB422" s="43"/>
      <c r="AC422" s="49"/>
      <c r="AE422" s="43"/>
      <c r="AF422" s="69"/>
      <c r="AI422" s="46"/>
      <c r="AJ422" s="138"/>
      <c r="AK422" s="138"/>
      <c r="AL422" s="138"/>
      <c r="AM422" s="42"/>
      <c r="AO422" s="42"/>
      <c r="AQ422" s="43"/>
      <c r="AR422" s="43"/>
      <c r="AS422" s="44"/>
      <c r="AT422" s="44"/>
      <c r="AU422" s="44"/>
      <c r="AW422" s="42"/>
      <c r="AX422" s="42"/>
      <c r="AY422" s="45"/>
      <c r="AZ422" s="47"/>
      <c r="BG422" s="43"/>
      <c r="BI422" s="43"/>
      <c r="BJ422" s="43"/>
      <c r="BK422" s="43"/>
      <c r="BL422" s="43"/>
      <c r="BM422" s="43"/>
      <c r="BO422" s="43"/>
      <c r="BR422" s="43"/>
      <c r="BS422" s="43"/>
      <c r="BW422" s="43"/>
      <c r="CC422" s="43"/>
      <c r="CE422" s="43"/>
      <c r="CF422" s="43"/>
      <c r="CH422" s="43"/>
      <c r="CK422" s="43"/>
    </row>
    <row r="423" spans="2:89" x14ac:dyDescent="0.25">
      <c r="B423" s="89"/>
      <c r="C423" s="123"/>
      <c r="D423" s="47"/>
      <c r="E423" s="40"/>
      <c r="F423" s="43"/>
      <c r="G423" s="43"/>
      <c r="H423" s="41"/>
      <c r="I423" s="42"/>
      <c r="J423" s="42"/>
      <c r="K423" s="84"/>
      <c r="L423" s="45"/>
      <c r="M423" s="50"/>
      <c r="N423" s="42"/>
      <c r="O423" s="42"/>
      <c r="P423" s="42"/>
      <c r="Q423" s="42"/>
      <c r="R423" s="42"/>
      <c r="S423" s="42"/>
      <c r="T423" s="42"/>
      <c r="U423" s="67"/>
      <c r="V423" s="220"/>
      <c r="W423" s="48"/>
      <c r="X423" s="49"/>
      <c r="Y423" s="43"/>
      <c r="Z423" s="49"/>
      <c r="AA423" s="43"/>
      <c r="AB423" s="43"/>
      <c r="AC423" s="49"/>
      <c r="AE423" s="43"/>
      <c r="AF423" s="69"/>
      <c r="AI423" s="46"/>
      <c r="AJ423" s="138"/>
      <c r="AK423" s="138"/>
      <c r="AL423" s="138"/>
      <c r="AM423" s="42"/>
      <c r="AO423" s="42"/>
      <c r="AQ423" s="43"/>
      <c r="AR423" s="43"/>
      <c r="AS423" s="44"/>
      <c r="AT423" s="44"/>
      <c r="AU423" s="44"/>
      <c r="AW423" s="42"/>
      <c r="AX423" s="42"/>
      <c r="AY423" s="45"/>
      <c r="AZ423" s="47"/>
      <c r="BG423" s="43"/>
      <c r="BI423" s="43"/>
      <c r="BJ423" s="43"/>
      <c r="BK423" s="43"/>
      <c r="BL423" s="43"/>
      <c r="BM423" s="43"/>
      <c r="BO423" s="43"/>
      <c r="BR423" s="43"/>
      <c r="BS423" s="43"/>
      <c r="BW423" s="43"/>
      <c r="CC423" s="43"/>
      <c r="CE423" s="43"/>
      <c r="CF423" s="43"/>
      <c r="CH423" s="43"/>
      <c r="CK423" s="43"/>
    </row>
    <row r="424" spans="2:89" x14ac:dyDescent="0.25">
      <c r="B424" s="89"/>
      <c r="C424" s="123"/>
      <c r="D424" s="47"/>
      <c r="E424" s="40"/>
      <c r="F424" s="43"/>
      <c r="G424" s="43"/>
      <c r="H424" s="41"/>
      <c r="I424" s="42"/>
      <c r="J424" s="42"/>
      <c r="K424" s="84"/>
      <c r="L424" s="45"/>
      <c r="M424" s="43"/>
      <c r="N424" s="42"/>
      <c r="O424" s="42"/>
      <c r="P424" s="229"/>
      <c r="Q424" s="42"/>
      <c r="R424" s="42"/>
      <c r="S424" s="42"/>
      <c r="T424" s="42"/>
      <c r="U424" s="67"/>
      <c r="V424" s="220"/>
      <c r="W424" s="48"/>
      <c r="X424" s="49"/>
      <c r="Y424" s="43"/>
      <c r="Z424" s="49"/>
      <c r="AA424" s="43"/>
      <c r="AB424" s="43"/>
      <c r="AC424" s="49"/>
      <c r="AE424" s="43"/>
      <c r="AF424" s="69"/>
      <c r="AI424" s="46"/>
      <c r="AJ424" s="138"/>
      <c r="AK424" s="138"/>
      <c r="AL424" s="138"/>
      <c r="AM424" s="42"/>
      <c r="AO424" s="42"/>
      <c r="AQ424" s="43"/>
      <c r="AR424" s="43"/>
      <c r="AS424" s="44"/>
      <c r="AT424" s="44"/>
      <c r="AU424" s="44"/>
      <c r="AW424" s="42"/>
      <c r="AX424" s="42"/>
      <c r="AY424" s="45"/>
      <c r="AZ424" s="47"/>
      <c r="BG424" s="43"/>
      <c r="BI424" s="43"/>
      <c r="BJ424" s="43"/>
      <c r="BK424" s="43"/>
      <c r="BL424" s="43"/>
      <c r="BM424" s="43"/>
      <c r="BO424" s="43"/>
      <c r="BR424" s="43"/>
      <c r="BS424" s="43"/>
      <c r="BW424" s="43"/>
      <c r="CC424" s="43"/>
      <c r="CE424" s="43"/>
      <c r="CF424" s="43"/>
      <c r="CH424" s="43"/>
      <c r="CK424" s="43"/>
    </row>
    <row r="425" spans="2:89" x14ac:dyDescent="0.25">
      <c r="B425" s="89"/>
      <c r="C425" s="123"/>
      <c r="D425" s="47"/>
      <c r="E425" s="40"/>
      <c r="F425" s="43"/>
      <c r="G425" s="43"/>
      <c r="H425" s="41"/>
      <c r="I425" s="42"/>
      <c r="J425" s="42"/>
      <c r="K425" s="84"/>
      <c r="L425" s="45"/>
      <c r="M425" s="50"/>
      <c r="N425" s="42"/>
      <c r="O425" s="42"/>
      <c r="P425" s="42"/>
      <c r="Q425" s="42"/>
      <c r="R425" s="42"/>
      <c r="S425" s="42"/>
      <c r="T425" s="42"/>
      <c r="U425" s="145"/>
      <c r="V425" s="220"/>
      <c r="W425" s="48"/>
      <c r="X425" s="49"/>
      <c r="Y425" s="43"/>
      <c r="Z425" s="49"/>
      <c r="AA425" s="43"/>
      <c r="AB425" s="43"/>
      <c r="AC425" s="49"/>
      <c r="AE425" s="43"/>
      <c r="AF425" s="69"/>
      <c r="AI425" s="46"/>
      <c r="AJ425" s="138"/>
      <c r="AK425" s="138"/>
      <c r="AL425" s="138"/>
      <c r="AM425" s="42"/>
      <c r="AO425" s="42"/>
      <c r="AQ425" s="43"/>
      <c r="AR425" s="43"/>
      <c r="AS425" s="44"/>
      <c r="AT425" s="44"/>
      <c r="AU425" s="44"/>
      <c r="AW425" s="42"/>
      <c r="AX425" s="42"/>
      <c r="AY425" s="45"/>
      <c r="AZ425" s="47"/>
      <c r="BG425" s="43"/>
      <c r="BI425" s="43"/>
      <c r="BJ425" s="43"/>
      <c r="BK425" s="43"/>
      <c r="BL425" s="43"/>
      <c r="BM425" s="43"/>
      <c r="BO425" s="43"/>
      <c r="BR425" s="43"/>
      <c r="BS425" s="43"/>
      <c r="BW425" s="43"/>
      <c r="CC425" s="43"/>
      <c r="CE425" s="43"/>
      <c r="CF425" s="43"/>
      <c r="CH425" s="43"/>
      <c r="CK425" s="43"/>
    </row>
    <row r="426" spans="2:89" x14ac:dyDescent="0.25">
      <c r="B426" s="89"/>
      <c r="C426" s="123"/>
      <c r="D426" s="47"/>
      <c r="E426" s="40"/>
      <c r="F426" s="43"/>
      <c r="G426" s="43"/>
      <c r="H426" s="41"/>
      <c r="I426" s="42"/>
      <c r="J426" s="42"/>
      <c r="K426" s="84"/>
      <c r="L426" s="45"/>
      <c r="M426" s="50"/>
      <c r="N426" s="42"/>
      <c r="O426" s="42"/>
      <c r="P426" s="229"/>
      <c r="Q426" s="42"/>
      <c r="R426" s="42"/>
      <c r="S426" s="42"/>
      <c r="T426" s="42"/>
      <c r="U426" s="67"/>
      <c r="V426" s="220"/>
      <c r="W426" s="48"/>
      <c r="X426" s="49"/>
      <c r="Y426" s="43"/>
      <c r="Z426" s="49"/>
      <c r="AA426" s="43"/>
      <c r="AB426" s="43"/>
      <c r="AC426" s="49"/>
      <c r="AE426" s="43"/>
      <c r="AF426" s="69"/>
      <c r="AI426" s="46"/>
      <c r="AJ426" s="138"/>
      <c r="AK426" s="138"/>
      <c r="AL426" s="138"/>
      <c r="AM426" s="42"/>
      <c r="AO426" s="42"/>
      <c r="AQ426" s="43"/>
      <c r="AR426" s="43"/>
      <c r="AS426" s="44"/>
      <c r="AT426" s="44"/>
      <c r="AU426" s="44"/>
      <c r="AW426" s="42"/>
      <c r="AX426" s="42"/>
      <c r="AY426" s="45"/>
      <c r="AZ426" s="47"/>
      <c r="BG426" s="43"/>
      <c r="BI426" s="43"/>
      <c r="BJ426" s="43"/>
      <c r="BK426" s="43"/>
      <c r="BL426" s="43"/>
      <c r="BM426" s="43"/>
      <c r="BO426" s="43"/>
      <c r="BR426" s="43"/>
      <c r="BS426" s="43"/>
      <c r="BW426" s="43"/>
      <c r="CC426" s="43"/>
      <c r="CE426" s="43"/>
      <c r="CF426" s="43"/>
      <c r="CH426" s="43"/>
      <c r="CK426" s="43"/>
    </row>
    <row r="427" spans="2:89" x14ac:dyDescent="0.25">
      <c r="B427" s="89"/>
      <c r="C427" s="123"/>
      <c r="D427" s="47"/>
      <c r="E427" s="40"/>
      <c r="F427" s="43"/>
      <c r="G427" s="43"/>
      <c r="H427" s="41"/>
      <c r="I427" s="42"/>
      <c r="J427" s="42"/>
      <c r="K427" s="84"/>
      <c r="L427" s="45"/>
      <c r="M427" s="50"/>
      <c r="N427" s="42"/>
      <c r="O427" s="42"/>
      <c r="P427" s="42"/>
      <c r="Q427" s="42"/>
      <c r="R427" s="42"/>
      <c r="S427" s="42"/>
      <c r="T427" s="42"/>
      <c r="U427" s="67"/>
      <c r="V427" s="220"/>
      <c r="W427" s="48"/>
      <c r="X427" s="49"/>
      <c r="Y427" s="43"/>
      <c r="Z427" s="49"/>
      <c r="AA427" s="43"/>
      <c r="AB427" s="43"/>
      <c r="AC427" s="49"/>
      <c r="AE427" s="43"/>
      <c r="AF427" s="69"/>
      <c r="AI427" s="46"/>
      <c r="AJ427" s="138"/>
      <c r="AK427" s="138"/>
      <c r="AL427" s="138"/>
      <c r="AM427" s="42"/>
      <c r="AO427" s="42"/>
      <c r="AQ427" s="43"/>
      <c r="AR427" s="43"/>
      <c r="AS427" s="44"/>
      <c r="AT427" s="44"/>
      <c r="AU427" s="44"/>
      <c r="AW427" s="42"/>
      <c r="AX427" s="42"/>
      <c r="AY427" s="45"/>
      <c r="AZ427" s="47"/>
      <c r="BG427" s="43"/>
      <c r="BI427" s="43"/>
      <c r="BJ427" s="43"/>
      <c r="BK427" s="43"/>
      <c r="BL427" s="43"/>
      <c r="BM427" s="43"/>
      <c r="BO427" s="43"/>
      <c r="BR427" s="43"/>
      <c r="BS427" s="43"/>
      <c r="BW427" s="43"/>
      <c r="CC427" s="43"/>
      <c r="CE427" s="43"/>
      <c r="CF427" s="43"/>
      <c r="CH427" s="43"/>
      <c r="CK427" s="43"/>
    </row>
    <row r="428" spans="2:89" x14ac:dyDescent="0.25">
      <c r="B428" s="89"/>
      <c r="C428" s="123"/>
      <c r="D428" s="47"/>
      <c r="E428" s="40"/>
      <c r="F428" s="43"/>
      <c r="G428" s="43"/>
      <c r="H428" s="41"/>
      <c r="I428" s="42"/>
      <c r="J428" s="42"/>
      <c r="K428" s="84"/>
      <c r="L428" s="45"/>
      <c r="M428" s="50"/>
      <c r="N428" s="42"/>
      <c r="O428" s="42"/>
      <c r="P428" s="229"/>
      <c r="Q428" s="42"/>
      <c r="R428" s="42"/>
      <c r="S428" s="42"/>
      <c r="T428" s="42"/>
      <c r="U428" s="67"/>
      <c r="V428" s="234"/>
      <c r="W428" s="48"/>
      <c r="X428" s="49"/>
      <c r="Y428" s="43"/>
      <c r="Z428" s="49"/>
      <c r="AA428" s="43"/>
      <c r="AB428" s="43"/>
      <c r="AC428" s="49"/>
      <c r="AE428" s="43"/>
      <c r="AF428" s="69"/>
      <c r="AI428" s="46"/>
      <c r="AJ428" s="138"/>
      <c r="AK428" s="138"/>
      <c r="AL428" s="138"/>
      <c r="AM428" s="42"/>
      <c r="AO428" s="42"/>
      <c r="AQ428" s="43"/>
      <c r="AR428" s="43"/>
      <c r="AS428" s="44"/>
      <c r="AT428" s="44"/>
      <c r="AU428" s="44"/>
      <c r="AW428" s="42"/>
      <c r="AX428" s="42"/>
      <c r="AY428" s="45"/>
      <c r="AZ428" s="47"/>
      <c r="BG428" s="43"/>
      <c r="BI428" s="43"/>
      <c r="BJ428" s="43"/>
      <c r="BK428" s="43"/>
      <c r="BL428" s="43"/>
      <c r="BM428" s="43"/>
      <c r="BO428" s="43"/>
      <c r="BR428" s="43"/>
      <c r="BS428" s="43"/>
      <c r="BW428" s="43"/>
      <c r="CC428" s="43"/>
      <c r="CE428" s="43"/>
      <c r="CF428" s="43"/>
      <c r="CH428" s="43"/>
      <c r="CK428" s="43"/>
    </row>
    <row r="429" spans="2:89" x14ac:dyDescent="0.25">
      <c r="B429" s="89"/>
      <c r="C429" s="123"/>
      <c r="D429" s="47"/>
      <c r="E429" s="40"/>
      <c r="F429" s="43"/>
      <c r="G429" s="43"/>
      <c r="H429" s="41"/>
      <c r="I429" s="42"/>
      <c r="J429" s="42"/>
      <c r="K429" s="84"/>
      <c r="L429" s="45"/>
      <c r="M429" s="50"/>
      <c r="N429" s="42"/>
      <c r="O429" s="42"/>
      <c r="P429" s="229"/>
      <c r="Q429" s="42"/>
      <c r="R429" s="42"/>
      <c r="S429" s="42"/>
      <c r="T429" s="42"/>
      <c r="U429" s="67"/>
      <c r="V429" s="220"/>
      <c r="W429" s="48"/>
      <c r="X429" s="49"/>
      <c r="Y429" s="43"/>
      <c r="Z429" s="49"/>
      <c r="AA429" s="43"/>
      <c r="AB429" s="43"/>
      <c r="AC429" s="49"/>
      <c r="AE429" s="43"/>
      <c r="AF429" s="69"/>
      <c r="AI429" s="46"/>
      <c r="AJ429" s="138"/>
      <c r="AK429" s="138"/>
      <c r="AL429" s="138"/>
      <c r="AM429" s="42"/>
      <c r="AO429" s="42"/>
      <c r="AQ429" s="43"/>
      <c r="AR429" s="43"/>
      <c r="AS429" s="44"/>
      <c r="AT429" s="44"/>
      <c r="AU429" s="44"/>
      <c r="AW429" s="42"/>
      <c r="AX429" s="42"/>
      <c r="AY429" s="45"/>
      <c r="AZ429" s="47"/>
      <c r="BG429" s="43"/>
      <c r="BI429" s="43"/>
      <c r="BJ429" s="43"/>
      <c r="BK429" s="43"/>
      <c r="BL429" s="43"/>
      <c r="BM429" s="43"/>
      <c r="BO429" s="43"/>
      <c r="BR429" s="43"/>
      <c r="BS429" s="43"/>
      <c r="BW429" s="43"/>
      <c r="CC429" s="43"/>
      <c r="CE429" s="43"/>
      <c r="CF429" s="43"/>
      <c r="CH429" s="43"/>
      <c r="CK429" s="43"/>
    </row>
    <row r="430" spans="2:89" x14ac:dyDescent="0.25">
      <c r="B430" s="89"/>
      <c r="C430" s="123"/>
      <c r="D430" s="47"/>
      <c r="E430" s="40"/>
      <c r="F430" s="43"/>
      <c r="G430" s="43"/>
      <c r="H430" s="41"/>
      <c r="I430" s="42"/>
      <c r="J430" s="42"/>
      <c r="K430" s="84"/>
      <c r="L430" s="45"/>
      <c r="M430" s="50"/>
      <c r="N430" s="42"/>
      <c r="O430" s="42"/>
      <c r="P430" s="223"/>
      <c r="Q430" s="42"/>
      <c r="R430" s="42"/>
      <c r="S430" s="42"/>
      <c r="T430" s="42"/>
      <c r="U430" s="67"/>
      <c r="V430" s="220"/>
      <c r="W430" s="48"/>
      <c r="X430" s="49"/>
      <c r="Y430" s="43"/>
      <c r="Z430" s="49"/>
      <c r="AA430" s="43"/>
      <c r="AB430" s="43"/>
      <c r="AC430" s="49"/>
      <c r="AE430" s="43"/>
      <c r="AF430" s="69"/>
      <c r="AI430" s="46"/>
      <c r="AJ430" s="138"/>
      <c r="AK430" s="138"/>
      <c r="AL430" s="138"/>
      <c r="AM430" s="42"/>
      <c r="AO430" s="42"/>
      <c r="AQ430" s="43"/>
      <c r="AR430" s="43"/>
      <c r="AS430" s="44"/>
      <c r="AT430" s="44"/>
      <c r="AU430" s="44"/>
      <c r="AW430" s="42"/>
      <c r="AX430" s="42"/>
      <c r="AY430" s="45"/>
      <c r="AZ430" s="47"/>
      <c r="BG430" s="43"/>
      <c r="BI430" s="43"/>
      <c r="BJ430" s="43"/>
      <c r="BK430" s="43"/>
      <c r="BL430" s="43"/>
      <c r="BM430" s="43"/>
      <c r="BO430" s="43"/>
      <c r="BR430" s="43"/>
      <c r="BS430" s="43"/>
      <c r="BW430" s="43"/>
      <c r="CC430" s="43"/>
      <c r="CE430" s="43"/>
      <c r="CF430" s="43"/>
      <c r="CH430" s="43"/>
      <c r="CK430" s="43"/>
    </row>
    <row r="431" spans="2:89" x14ac:dyDescent="0.25">
      <c r="B431" s="89"/>
      <c r="C431" s="123"/>
      <c r="D431" s="47"/>
      <c r="E431" s="40"/>
      <c r="F431" s="43"/>
      <c r="G431" s="43"/>
      <c r="H431" s="41"/>
      <c r="I431" s="42"/>
      <c r="J431" s="42"/>
      <c r="K431" s="84"/>
      <c r="L431" s="45"/>
      <c r="M431" s="50"/>
      <c r="N431" s="42"/>
      <c r="O431" s="42"/>
      <c r="P431" s="200"/>
      <c r="Q431" s="42"/>
      <c r="R431" s="42"/>
      <c r="S431" s="42"/>
      <c r="T431" s="42"/>
      <c r="U431" s="67"/>
      <c r="V431" s="220"/>
      <c r="W431" s="48"/>
      <c r="X431" s="49"/>
      <c r="Y431" s="43"/>
      <c r="Z431" s="49"/>
      <c r="AA431" s="43"/>
      <c r="AB431" s="43"/>
      <c r="AC431" s="49"/>
      <c r="AE431" s="43"/>
      <c r="AF431" s="69"/>
      <c r="AI431" s="46"/>
      <c r="AJ431" s="138"/>
      <c r="AK431" s="138"/>
      <c r="AL431" s="138"/>
      <c r="AM431" s="42"/>
      <c r="AO431" s="42"/>
      <c r="AQ431" s="43"/>
      <c r="AR431" s="43"/>
      <c r="AS431" s="44"/>
      <c r="AT431" s="44"/>
      <c r="AU431" s="44"/>
      <c r="AW431" s="42"/>
      <c r="AX431" s="42"/>
      <c r="AY431" s="45"/>
      <c r="AZ431" s="47"/>
      <c r="BG431" s="43"/>
      <c r="BI431" s="43"/>
      <c r="BJ431" s="43"/>
      <c r="BK431" s="43"/>
      <c r="BL431" s="43"/>
      <c r="BM431" s="43"/>
      <c r="BO431" s="43"/>
      <c r="BR431" s="43"/>
      <c r="BS431" s="43"/>
      <c r="BW431" s="43"/>
      <c r="CC431" s="43"/>
      <c r="CE431" s="43"/>
      <c r="CF431" s="43"/>
      <c r="CH431" s="43"/>
      <c r="CK431" s="43"/>
    </row>
    <row r="432" spans="2:89" x14ac:dyDescent="0.25">
      <c r="B432" s="89"/>
      <c r="C432" s="123"/>
      <c r="D432" s="47"/>
      <c r="E432" s="40"/>
      <c r="F432" s="43"/>
      <c r="G432" s="43"/>
      <c r="H432" s="41"/>
      <c r="I432" s="42"/>
      <c r="J432" s="42"/>
      <c r="K432" s="84"/>
      <c r="L432" s="45"/>
      <c r="M432" s="50"/>
      <c r="N432" s="42"/>
      <c r="O432" s="42"/>
      <c r="P432" s="229"/>
      <c r="Q432" s="42"/>
      <c r="R432" s="42"/>
      <c r="S432" s="42"/>
      <c r="T432" s="42"/>
      <c r="U432" s="67"/>
      <c r="V432" s="220"/>
      <c r="W432" s="48"/>
      <c r="X432" s="49"/>
      <c r="Y432" s="43"/>
      <c r="Z432" s="49"/>
      <c r="AA432" s="43"/>
      <c r="AB432" s="43"/>
      <c r="AC432" s="49"/>
      <c r="AE432" s="43"/>
      <c r="AF432" s="69"/>
      <c r="AI432" s="46"/>
      <c r="AJ432" s="138"/>
      <c r="AK432" s="138"/>
      <c r="AL432" s="138"/>
      <c r="AM432" s="42"/>
      <c r="AO432" s="42"/>
      <c r="AQ432" s="43"/>
      <c r="AR432" s="43"/>
      <c r="AS432" s="44"/>
      <c r="AT432" s="44"/>
      <c r="AU432" s="44"/>
      <c r="AW432" s="42"/>
      <c r="AX432" s="42"/>
      <c r="AY432" s="45"/>
      <c r="AZ432" s="47"/>
      <c r="BG432" s="43"/>
      <c r="BI432" s="43"/>
      <c r="BJ432" s="43"/>
      <c r="BK432" s="43"/>
      <c r="BL432" s="43"/>
      <c r="BM432" s="43"/>
      <c r="BO432" s="43"/>
      <c r="BR432" s="43"/>
      <c r="BS432" s="43"/>
      <c r="BW432" s="43"/>
      <c r="CC432" s="43"/>
      <c r="CE432" s="43"/>
      <c r="CF432" s="43"/>
      <c r="CH432" s="43"/>
      <c r="CK432" s="43"/>
    </row>
    <row r="433" spans="2:89" x14ac:dyDescent="0.25">
      <c r="B433" s="89"/>
      <c r="C433" s="123"/>
      <c r="D433" s="47"/>
      <c r="E433" s="40"/>
      <c r="F433" s="43"/>
      <c r="G433" s="43"/>
      <c r="H433" s="41"/>
      <c r="I433" s="42"/>
      <c r="J433" s="42"/>
      <c r="K433" s="84"/>
      <c r="L433" s="45"/>
      <c r="M433" s="50"/>
      <c r="N433" s="42"/>
      <c r="O433" s="42"/>
      <c r="P433" s="223"/>
      <c r="Q433" s="42"/>
      <c r="R433" s="42"/>
      <c r="S433" s="42"/>
      <c r="T433" s="42"/>
      <c r="U433" s="67"/>
      <c r="V433" s="220"/>
      <c r="W433" s="48"/>
      <c r="X433" s="49"/>
      <c r="Y433" s="43"/>
      <c r="Z433" s="49"/>
      <c r="AA433" s="43"/>
      <c r="AB433" s="43"/>
      <c r="AC433" s="49"/>
      <c r="AE433" s="43"/>
      <c r="AF433" s="69"/>
      <c r="AI433" s="46"/>
      <c r="AJ433" s="138"/>
      <c r="AK433" s="138"/>
      <c r="AL433" s="138"/>
      <c r="AM433" s="42"/>
      <c r="AO433" s="42"/>
      <c r="AQ433" s="43"/>
      <c r="AR433" s="43"/>
      <c r="AS433" s="44"/>
      <c r="AT433" s="44"/>
      <c r="AU433" s="44"/>
      <c r="AW433" s="42"/>
      <c r="AX433" s="42"/>
      <c r="AY433" s="45"/>
      <c r="AZ433" s="47"/>
      <c r="BG433" s="43"/>
      <c r="BI433" s="43"/>
      <c r="BJ433" s="43"/>
      <c r="BK433" s="43"/>
      <c r="BL433" s="43"/>
      <c r="BM433" s="43"/>
      <c r="BO433" s="43"/>
      <c r="BR433" s="43"/>
      <c r="BS433" s="43"/>
      <c r="BW433" s="43"/>
      <c r="CC433" s="43"/>
      <c r="CE433" s="43"/>
      <c r="CF433" s="43"/>
      <c r="CH433" s="43"/>
      <c r="CK433" s="43"/>
    </row>
    <row r="434" spans="2:89" x14ac:dyDescent="0.25">
      <c r="B434" s="89"/>
      <c r="C434" s="123"/>
      <c r="D434" s="47"/>
      <c r="E434" s="40"/>
      <c r="F434" s="43"/>
      <c r="G434" s="43"/>
      <c r="H434" s="41"/>
      <c r="I434" s="42"/>
      <c r="J434" s="42"/>
      <c r="K434" s="84"/>
      <c r="L434" s="45"/>
      <c r="M434" s="50"/>
      <c r="N434" s="42"/>
      <c r="O434" s="42"/>
      <c r="P434" s="200"/>
      <c r="Q434" s="42"/>
      <c r="R434" s="42"/>
      <c r="S434" s="42"/>
      <c r="T434" s="42"/>
      <c r="U434" s="67"/>
      <c r="V434" s="220"/>
      <c r="W434" s="48"/>
      <c r="X434" s="49"/>
      <c r="Y434" s="43"/>
      <c r="Z434" s="49"/>
      <c r="AA434" s="43"/>
      <c r="AB434" s="43"/>
      <c r="AC434" s="49"/>
      <c r="AE434" s="43"/>
      <c r="AF434" s="69"/>
      <c r="AI434" s="46"/>
      <c r="AJ434" s="138"/>
      <c r="AK434" s="138"/>
      <c r="AL434" s="138"/>
      <c r="AM434" s="42"/>
      <c r="AO434" s="42"/>
      <c r="AQ434" s="43"/>
      <c r="AR434" s="43"/>
      <c r="AS434" s="44"/>
      <c r="AT434" s="44"/>
      <c r="AU434" s="44"/>
      <c r="AW434" s="42"/>
      <c r="AX434" s="42"/>
      <c r="AY434" s="45"/>
      <c r="AZ434" s="47"/>
      <c r="BG434" s="43"/>
      <c r="BI434" s="43"/>
      <c r="BJ434" s="43"/>
      <c r="BK434" s="43"/>
      <c r="BL434" s="43"/>
      <c r="BM434" s="43"/>
      <c r="BO434" s="43"/>
      <c r="BR434" s="43"/>
      <c r="BS434" s="43"/>
      <c r="BW434" s="43"/>
      <c r="CC434" s="43"/>
      <c r="CE434" s="43"/>
      <c r="CF434" s="43"/>
      <c r="CH434" s="43"/>
      <c r="CK434" s="43"/>
    </row>
    <row r="435" spans="2:89" x14ac:dyDescent="0.25">
      <c r="B435" s="89"/>
      <c r="C435" s="123"/>
      <c r="D435" s="47"/>
      <c r="E435" s="40"/>
      <c r="F435" s="43"/>
      <c r="G435" s="43"/>
      <c r="H435" s="41"/>
      <c r="I435" s="42"/>
      <c r="J435" s="42"/>
      <c r="K435" s="84"/>
      <c r="L435" s="45"/>
      <c r="M435" s="50"/>
      <c r="N435" s="42"/>
      <c r="O435" s="42"/>
      <c r="P435" s="229"/>
      <c r="Q435" s="42"/>
      <c r="R435" s="42"/>
      <c r="S435" s="42"/>
      <c r="T435" s="42"/>
      <c r="U435" s="67"/>
      <c r="V435" s="220"/>
      <c r="W435" s="48"/>
      <c r="X435" s="49"/>
      <c r="Y435" s="43"/>
      <c r="Z435" s="49"/>
      <c r="AA435" s="43"/>
      <c r="AB435" s="43"/>
      <c r="AC435" s="49"/>
      <c r="AE435" s="43"/>
      <c r="AF435" s="69"/>
      <c r="AI435" s="46"/>
      <c r="AJ435" s="138"/>
      <c r="AK435" s="138"/>
      <c r="AL435" s="138"/>
      <c r="AM435" s="42"/>
      <c r="AO435" s="42"/>
      <c r="AQ435" s="43"/>
      <c r="AR435" s="43"/>
      <c r="AS435" s="44"/>
      <c r="AT435" s="44"/>
      <c r="AU435" s="44"/>
      <c r="AW435" s="42"/>
      <c r="AX435" s="42"/>
      <c r="AY435" s="45"/>
      <c r="AZ435" s="47"/>
      <c r="BG435" s="43"/>
      <c r="BI435" s="43"/>
      <c r="BJ435" s="43"/>
      <c r="BK435" s="43"/>
      <c r="BL435" s="43"/>
      <c r="BM435" s="43"/>
      <c r="BO435" s="43"/>
      <c r="BR435" s="43"/>
      <c r="BS435" s="43"/>
      <c r="BW435" s="43"/>
      <c r="CC435" s="43"/>
      <c r="CE435" s="43"/>
      <c r="CF435" s="43"/>
      <c r="CH435" s="43"/>
      <c r="CK435" s="43"/>
    </row>
    <row r="436" spans="2:89" x14ac:dyDescent="0.25">
      <c r="B436" s="89"/>
      <c r="C436" s="123"/>
      <c r="D436" s="47"/>
      <c r="E436" s="40"/>
      <c r="F436" s="43"/>
      <c r="G436" s="43"/>
      <c r="H436" s="41"/>
      <c r="I436" s="42"/>
      <c r="J436" s="42"/>
      <c r="K436" s="84"/>
      <c r="L436" s="45"/>
      <c r="M436" s="50"/>
      <c r="N436" s="42"/>
      <c r="O436" s="42"/>
      <c r="P436" s="223"/>
      <c r="Q436" s="42"/>
      <c r="R436" s="42"/>
      <c r="S436" s="42"/>
      <c r="T436" s="42"/>
      <c r="U436" s="67"/>
      <c r="V436" s="220"/>
      <c r="W436" s="48"/>
      <c r="X436" s="49"/>
      <c r="Y436" s="43"/>
      <c r="Z436" s="49"/>
      <c r="AA436" s="43"/>
      <c r="AB436" s="43"/>
      <c r="AC436" s="49"/>
      <c r="AE436" s="43"/>
      <c r="AF436" s="69"/>
      <c r="AI436" s="46"/>
      <c r="AJ436" s="138"/>
      <c r="AK436" s="138"/>
      <c r="AL436" s="138"/>
      <c r="AM436" s="42"/>
      <c r="AO436" s="42"/>
      <c r="AQ436" s="43"/>
      <c r="AR436" s="43"/>
      <c r="AS436" s="44"/>
      <c r="AT436" s="152"/>
      <c r="AU436" s="44"/>
      <c r="AW436" s="42"/>
      <c r="AX436" s="42"/>
      <c r="AY436" s="45"/>
      <c r="AZ436" s="47"/>
      <c r="BG436" s="43"/>
      <c r="BI436" s="43"/>
      <c r="BJ436" s="43"/>
      <c r="BK436" s="43"/>
      <c r="BL436" s="43"/>
      <c r="BM436" s="43"/>
      <c r="BO436" s="43"/>
      <c r="BR436" s="43"/>
      <c r="BS436" s="43"/>
      <c r="BW436" s="43"/>
      <c r="CC436" s="43"/>
      <c r="CE436" s="43"/>
      <c r="CF436" s="43"/>
      <c r="CH436" s="43"/>
      <c r="CK436" s="43"/>
    </row>
    <row r="437" spans="2:89" x14ac:dyDescent="0.25">
      <c r="B437" s="89"/>
      <c r="C437" s="123"/>
      <c r="D437" s="47"/>
      <c r="E437" s="40"/>
      <c r="F437" s="43"/>
      <c r="G437" s="43"/>
      <c r="H437" s="41"/>
      <c r="I437" s="42"/>
      <c r="J437" s="42"/>
      <c r="K437" s="84"/>
      <c r="L437" s="45"/>
      <c r="M437" s="50"/>
      <c r="N437" s="42"/>
      <c r="O437" s="42"/>
      <c r="P437" s="200"/>
      <c r="Q437" s="42"/>
      <c r="R437" s="42"/>
      <c r="S437" s="42"/>
      <c r="T437" s="42"/>
      <c r="U437" s="67"/>
      <c r="V437" s="220"/>
      <c r="W437" s="48"/>
      <c r="X437" s="49"/>
      <c r="Y437" s="43"/>
      <c r="Z437" s="49"/>
      <c r="AA437" s="43"/>
      <c r="AB437" s="43"/>
      <c r="AC437" s="49"/>
      <c r="AE437" s="43"/>
      <c r="AF437" s="69"/>
      <c r="AI437" s="46"/>
      <c r="AJ437" s="138"/>
      <c r="AK437" s="138"/>
      <c r="AL437" s="138"/>
      <c r="AM437" s="42"/>
      <c r="AO437" s="42"/>
      <c r="AQ437" s="43"/>
      <c r="AR437" s="43"/>
      <c r="AS437" s="44"/>
      <c r="AT437" s="44"/>
      <c r="AU437" s="44"/>
      <c r="AW437" s="42"/>
      <c r="AX437" s="42"/>
      <c r="AY437" s="45"/>
      <c r="AZ437" s="47"/>
      <c r="BG437" s="43"/>
      <c r="BI437" s="43"/>
      <c r="BJ437" s="43"/>
      <c r="BK437" s="43"/>
      <c r="BL437" s="43"/>
      <c r="BM437" s="43"/>
      <c r="BO437" s="43"/>
      <c r="BR437" s="43"/>
      <c r="BS437" s="43"/>
      <c r="BW437" s="43"/>
      <c r="CC437" s="43"/>
      <c r="CE437" s="43"/>
      <c r="CF437" s="43"/>
      <c r="CH437" s="43"/>
      <c r="CK437" s="43"/>
    </row>
    <row r="438" spans="2:89" x14ac:dyDescent="0.25">
      <c r="B438" s="89"/>
      <c r="C438" s="123"/>
      <c r="D438" s="47"/>
      <c r="E438" s="40"/>
      <c r="F438" s="43"/>
      <c r="G438" s="43"/>
      <c r="H438" s="41"/>
      <c r="I438" s="42"/>
      <c r="J438" s="42"/>
      <c r="K438" s="84"/>
      <c r="L438" s="45"/>
      <c r="M438" s="50"/>
      <c r="N438" s="42"/>
      <c r="O438" s="42"/>
      <c r="P438" s="42"/>
      <c r="Q438" s="42"/>
      <c r="R438" s="42"/>
      <c r="S438" s="42"/>
      <c r="T438" s="42"/>
      <c r="U438" s="67"/>
      <c r="V438" s="220"/>
      <c r="W438" s="48"/>
      <c r="X438" s="49"/>
      <c r="Y438" s="43"/>
      <c r="Z438" s="49"/>
      <c r="AA438" s="43"/>
      <c r="AB438" s="43"/>
      <c r="AC438" s="49"/>
      <c r="AE438" s="43"/>
      <c r="AF438" s="69"/>
      <c r="AI438" s="46"/>
      <c r="AJ438" s="138"/>
      <c r="AK438" s="138"/>
      <c r="AL438" s="138"/>
      <c r="AM438" s="42"/>
      <c r="AO438" s="42"/>
      <c r="AQ438" s="43"/>
      <c r="AR438" s="43"/>
      <c r="AS438" s="44"/>
      <c r="AT438" s="44"/>
      <c r="AU438" s="44"/>
      <c r="AW438" s="42"/>
      <c r="AX438" s="42"/>
      <c r="AY438" s="45"/>
      <c r="AZ438" s="47"/>
      <c r="BG438" s="43"/>
      <c r="BI438" s="43"/>
      <c r="BJ438" s="43"/>
      <c r="BK438" s="43"/>
      <c r="BL438" s="43"/>
      <c r="BM438" s="43"/>
      <c r="BO438" s="43"/>
      <c r="BR438" s="43"/>
      <c r="BS438" s="43"/>
      <c r="BW438" s="43"/>
      <c r="CC438" s="43"/>
      <c r="CE438" s="43"/>
      <c r="CF438" s="43"/>
      <c r="CH438" s="43"/>
      <c r="CK438" s="43"/>
    </row>
    <row r="439" spans="2:89" x14ac:dyDescent="0.25">
      <c r="B439" s="89"/>
      <c r="C439" s="123"/>
      <c r="D439" s="47"/>
      <c r="E439" s="40"/>
      <c r="F439" s="43"/>
      <c r="G439" s="43"/>
      <c r="H439" s="41"/>
      <c r="I439" s="42"/>
      <c r="J439" s="42"/>
      <c r="K439" s="84"/>
      <c r="L439" s="45"/>
      <c r="M439" s="50"/>
      <c r="N439" s="42"/>
      <c r="O439" s="42"/>
      <c r="P439" s="42"/>
      <c r="Q439" s="42"/>
      <c r="R439" s="42"/>
      <c r="S439" s="42"/>
      <c r="T439" s="42"/>
      <c r="U439" s="67"/>
      <c r="V439" s="220"/>
      <c r="W439" s="48"/>
      <c r="X439" s="49"/>
      <c r="Y439" s="43"/>
      <c r="Z439" s="49"/>
      <c r="AA439" s="43"/>
      <c r="AB439" s="43"/>
      <c r="AC439" s="49"/>
      <c r="AE439" s="43"/>
      <c r="AF439" s="69"/>
      <c r="AI439" s="46"/>
      <c r="AJ439" s="138"/>
      <c r="AK439" s="138"/>
      <c r="AL439" s="138"/>
      <c r="AM439" s="42"/>
      <c r="AO439" s="42"/>
      <c r="AQ439" s="43"/>
      <c r="AR439" s="43"/>
      <c r="AS439" s="44"/>
      <c r="AT439" s="152"/>
      <c r="AU439" s="44"/>
      <c r="AW439" s="42"/>
      <c r="AX439" s="42"/>
      <c r="AY439" s="45"/>
      <c r="AZ439" s="47"/>
      <c r="BG439" s="43"/>
      <c r="BI439" s="43"/>
      <c r="BJ439" s="43"/>
      <c r="BK439" s="43"/>
      <c r="BL439" s="43"/>
      <c r="BM439" s="43"/>
      <c r="BO439" s="43"/>
      <c r="BR439" s="43"/>
      <c r="BS439" s="43"/>
      <c r="BW439" s="43"/>
      <c r="CC439" s="43"/>
      <c r="CE439" s="43"/>
      <c r="CF439" s="43"/>
      <c r="CH439" s="43"/>
      <c r="CK439" s="43"/>
    </row>
    <row r="440" spans="2:89" x14ac:dyDescent="0.25">
      <c r="B440" s="89"/>
      <c r="C440" s="123"/>
      <c r="D440" s="47"/>
      <c r="E440" s="40"/>
      <c r="F440" s="43"/>
      <c r="G440" s="43"/>
      <c r="H440" s="41"/>
      <c r="I440" s="42"/>
      <c r="J440" s="42"/>
      <c r="K440" s="84"/>
      <c r="L440" s="45"/>
      <c r="M440" s="50"/>
      <c r="N440" s="42"/>
      <c r="O440" s="42"/>
      <c r="P440" s="42"/>
      <c r="Q440" s="42"/>
      <c r="R440" s="42"/>
      <c r="S440" s="42"/>
      <c r="T440" s="42"/>
      <c r="U440" s="67"/>
      <c r="V440" s="220"/>
      <c r="W440" s="48"/>
      <c r="X440" s="49"/>
      <c r="Y440" s="43"/>
      <c r="Z440" s="49"/>
      <c r="AA440" s="43"/>
      <c r="AB440" s="43"/>
      <c r="AC440" s="49"/>
      <c r="AE440" s="43"/>
      <c r="AF440" s="69"/>
      <c r="AI440" s="46"/>
      <c r="AJ440" s="138"/>
      <c r="AK440" s="138"/>
      <c r="AL440" s="138"/>
      <c r="AM440" s="42"/>
      <c r="AO440" s="42"/>
      <c r="AQ440" s="43"/>
      <c r="AR440" s="43"/>
      <c r="AS440" s="44"/>
      <c r="AT440" s="44"/>
      <c r="AU440" s="44"/>
      <c r="AW440" s="42"/>
      <c r="AX440" s="42"/>
      <c r="AY440" s="45"/>
      <c r="AZ440" s="47"/>
      <c r="BG440" s="43"/>
      <c r="BI440" s="43"/>
      <c r="BJ440" s="43"/>
      <c r="BK440" s="43"/>
      <c r="BL440" s="43"/>
      <c r="BM440" s="43"/>
      <c r="BO440" s="43"/>
      <c r="BR440" s="43"/>
      <c r="BS440" s="43"/>
      <c r="BW440" s="43"/>
      <c r="CC440" s="43"/>
      <c r="CE440" s="43"/>
      <c r="CF440" s="43"/>
      <c r="CH440" s="43"/>
      <c r="CK440" s="43"/>
    </row>
    <row r="441" spans="2:89" ht="15.75" customHeight="1" x14ac:dyDescent="0.25">
      <c r="B441" s="89"/>
      <c r="C441" s="123"/>
      <c r="D441" s="47"/>
      <c r="E441" s="40"/>
      <c r="F441" s="43"/>
      <c r="G441" s="43"/>
      <c r="H441" s="41"/>
      <c r="I441" s="42"/>
      <c r="J441" s="42"/>
      <c r="K441" s="84"/>
      <c r="L441" s="45"/>
      <c r="M441" s="50"/>
      <c r="N441" s="42"/>
      <c r="O441" s="42"/>
      <c r="P441" s="42"/>
      <c r="Q441" s="42"/>
      <c r="R441" s="42"/>
      <c r="S441" s="42"/>
      <c r="T441" s="42"/>
      <c r="U441" s="67"/>
      <c r="V441" s="220"/>
      <c r="W441" s="48"/>
      <c r="X441" s="49"/>
      <c r="Y441" s="43"/>
      <c r="Z441" s="49"/>
      <c r="AA441" s="43"/>
      <c r="AB441" s="43"/>
      <c r="AC441" s="49"/>
      <c r="AE441" s="43"/>
      <c r="AF441" s="69"/>
      <c r="AI441" s="46"/>
      <c r="AJ441" s="138"/>
      <c r="AK441" s="138"/>
      <c r="AL441" s="138"/>
      <c r="AM441" s="42"/>
      <c r="AO441" s="42"/>
      <c r="AQ441" s="43"/>
      <c r="AR441" s="43"/>
      <c r="AS441" s="44"/>
      <c r="AT441" s="152"/>
      <c r="AU441" s="44"/>
      <c r="AW441" s="42"/>
      <c r="AX441" s="42"/>
      <c r="AY441" s="45"/>
      <c r="AZ441" s="47"/>
      <c r="BG441" s="43"/>
      <c r="BI441" s="43"/>
      <c r="BJ441" s="43"/>
      <c r="BK441" s="43"/>
      <c r="BL441" s="43"/>
      <c r="BM441" s="43"/>
      <c r="BO441" s="43"/>
      <c r="BR441" s="43"/>
      <c r="BS441" s="43"/>
      <c r="BW441" s="43"/>
      <c r="CC441" s="43"/>
      <c r="CE441" s="43"/>
      <c r="CF441" s="43"/>
      <c r="CH441" s="43"/>
      <c r="CK441" s="43"/>
    </row>
    <row r="442" spans="2:89" ht="15.75" customHeight="1" x14ac:dyDescent="0.25">
      <c r="B442" s="89"/>
      <c r="C442" s="123"/>
      <c r="D442" s="47"/>
      <c r="E442" s="40"/>
      <c r="F442" s="43"/>
      <c r="G442" s="43"/>
      <c r="H442" s="41"/>
      <c r="I442" s="42"/>
      <c r="J442" s="42"/>
      <c r="K442" s="84"/>
      <c r="L442" s="45"/>
      <c r="M442" s="50"/>
      <c r="N442" s="42"/>
      <c r="O442" s="42"/>
      <c r="P442" s="42"/>
      <c r="Q442" s="42"/>
      <c r="R442" s="42"/>
      <c r="S442" s="42"/>
      <c r="T442" s="42"/>
      <c r="U442" s="67"/>
      <c r="V442" s="220"/>
      <c r="W442" s="48"/>
      <c r="X442" s="49"/>
      <c r="Y442" s="43"/>
      <c r="Z442" s="49"/>
      <c r="AA442" s="43"/>
      <c r="AB442" s="43"/>
      <c r="AC442" s="49"/>
      <c r="AE442" s="43"/>
      <c r="AF442" s="69"/>
      <c r="AI442" s="46"/>
      <c r="AJ442" s="138"/>
      <c r="AK442" s="138"/>
      <c r="AL442" s="138"/>
      <c r="AM442" s="42"/>
      <c r="AO442" s="42"/>
      <c r="AQ442" s="43"/>
      <c r="AR442" s="43"/>
      <c r="AS442" s="44"/>
      <c r="AT442" s="44"/>
      <c r="AU442" s="44"/>
      <c r="AW442" s="42"/>
      <c r="AX442" s="42"/>
      <c r="AY442" s="45"/>
      <c r="AZ442" s="47"/>
      <c r="BG442" s="43"/>
      <c r="BI442" s="43"/>
      <c r="BJ442" s="43"/>
      <c r="BK442" s="43"/>
      <c r="BL442" s="43"/>
      <c r="BM442" s="43"/>
      <c r="BO442" s="43"/>
      <c r="BR442" s="43"/>
      <c r="BS442" s="43"/>
      <c r="BW442" s="43"/>
      <c r="CC442" s="43"/>
      <c r="CE442" s="43"/>
      <c r="CF442" s="43"/>
      <c r="CH442" s="43"/>
      <c r="CK442" s="43"/>
    </row>
    <row r="443" spans="2:89" x14ac:dyDescent="0.25">
      <c r="B443" s="89"/>
      <c r="C443" s="123"/>
      <c r="D443" s="47"/>
      <c r="E443" s="40"/>
      <c r="F443" s="43"/>
      <c r="G443" s="43"/>
      <c r="H443" s="41"/>
      <c r="I443" s="42"/>
      <c r="J443" s="42"/>
      <c r="K443" s="84"/>
      <c r="L443" s="45"/>
      <c r="M443" s="50"/>
      <c r="N443" s="42"/>
      <c r="O443" s="42"/>
      <c r="P443" s="42"/>
      <c r="Q443" s="42"/>
      <c r="R443" s="42"/>
      <c r="S443" s="42"/>
      <c r="T443" s="42"/>
      <c r="U443" s="67"/>
      <c r="V443" s="220"/>
      <c r="W443" s="48"/>
      <c r="X443" s="49"/>
      <c r="Y443" s="43"/>
      <c r="Z443" s="49"/>
      <c r="AA443" s="43"/>
      <c r="AB443" s="43"/>
      <c r="AC443" s="49"/>
      <c r="AE443" s="43"/>
      <c r="AF443" s="69"/>
      <c r="AI443" s="46"/>
      <c r="AJ443" s="138"/>
      <c r="AK443" s="138"/>
      <c r="AL443" s="138"/>
      <c r="AM443" s="42"/>
      <c r="AO443" s="42"/>
      <c r="AQ443" s="43"/>
      <c r="AR443" s="43"/>
      <c r="AS443" s="44"/>
      <c r="AT443" s="44"/>
      <c r="AU443" s="73"/>
      <c r="AW443" s="42"/>
      <c r="AX443" s="42"/>
      <c r="AY443" s="45"/>
      <c r="AZ443" s="47"/>
      <c r="BG443" s="43"/>
      <c r="BI443" s="43"/>
      <c r="BJ443" s="43"/>
      <c r="BK443" s="43"/>
      <c r="BL443" s="43"/>
      <c r="BM443" s="43"/>
      <c r="BO443" s="43"/>
      <c r="BR443" s="43"/>
      <c r="BS443" s="43"/>
      <c r="BW443" s="43"/>
      <c r="CC443" s="43"/>
      <c r="CE443" s="43"/>
      <c r="CF443" s="43"/>
      <c r="CH443" s="43"/>
      <c r="CK443" s="43"/>
    </row>
    <row r="444" spans="2:89" x14ac:dyDescent="0.25">
      <c r="B444" s="89"/>
      <c r="C444" s="123"/>
      <c r="D444" s="47"/>
      <c r="E444" s="40"/>
      <c r="F444" s="43"/>
      <c r="G444" s="43"/>
      <c r="H444" s="41"/>
      <c r="I444" s="42"/>
      <c r="J444" s="42"/>
      <c r="K444" s="84"/>
      <c r="L444" s="45"/>
      <c r="M444" s="50"/>
      <c r="N444" s="42"/>
      <c r="O444" s="42"/>
      <c r="P444" s="42"/>
      <c r="Q444" s="42"/>
      <c r="R444" s="42"/>
      <c r="S444" s="42"/>
      <c r="T444" s="42"/>
      <c r="U444" s="145"/>
      <c r="V444" s="222"/>
      <c r="W444" s="48"/>
      <c r="X444" s="49"/>
      <c r="Y444" s="43"/>
      <c r="Z444" s="49"/>
      <c r="AA444" s="43"/>
      <c r="AB444" s="43"/>
      <c r="AC444" s="49"/>
      <c r="AE444" s="43"/>
      <c r="AF444" s="69"/>
      <c r="AI444" s="46"/>
      <c r="AJ444" s="138"/>
      <c r="AK444" s="138"/>
      <c r="AL444" s="138"/>
      <c r="AM444" s="42"/>
      <c r="AO444" s="42"/>
      <c r="AQ444" s="43"/>
      <c r="AR444" s="43"/>
      <c r="AS444" s="44"/>
      <c r="AT444" s="44"/>
      <c r="AU444" s="73"/>
      <c r="AW444" s="42"/>
      <c r="AX444" s="42"/>
      <c r="AY444" s="45"/>
      <c r="AZ444" s="47"/>
      <c r="BG444" s="43"/>
      <c r="BI444" s="43"/>
      <c r="BJ444" s="43"/>
      <c r="BK444" s="43"/>
      <c r="BL444" s="43"/>
      <c r="BM444" s="43"/>
      <c r="BO444" s="43"/>
      <c r="BR444" s="43"/>
      <c r="BS444" s="43"/>
      <c r="BW444" s="43"/>
      <c r="CC444" s="43"/>
      <c r="CE444" s="43"/>
      <c r="CF444" s="43"/>
      <c r="CH444" s="43"/>
      <c r="CK444" s="43"/>
    </row>
    <row r="445" spans="2:89" x14ac:dyDescent="0.25">
      <c r="B445" s="89"/>
      <c r="C445" s="123"/>
      <c r="D445" s="47"/>
      <c r="E445" s="40"/>
      <c r="F445" s="43"/>
      <c r="G445" s="43"/>
      <c r="H445" s="41"/>
      <c r="I445" s="182"/>
      <c r="J445" s="200"/>
      <c r="K445" s="84"/>
      <c r="L445" s="45"/>
      <c r="M445" s="43"/>
      <c r="N445" s="42"/>
      <c r="O445" s="42"/>
      <c r="P445" s="229"/>
      <c r="Q445" s="42"/>
      <c r="R445" s="42"/>
      <c r="S445" s="42"/>
      <c r="T445" s="42"/>
      <c r="U445" s="67"/>
      <c r="V445" s="220"/>
      <c r="W445" s="48"/>
      <c r="X445" s="49"/>
      <c r="Y445" s="43"/>
      <c r="Z445" s="49"/>
      <c r="AA445" s="43"/>
      <c r="AB445" s="43"/>
      <c r="AC445" s="49"/>
      <c r="AE445" s="43"/>
      <c r="AF445" s="69"/>
      <c r="AH445" s="150"/>
      <c r="AI445" s="46"/>
      <c r="AJ445" s="138"/>
      <c r="AK445" s="138"/>
      <c r="AL445" s="138"/>
      <c r="AM445" s="42"/>
      <c r="AO445" s="42"/>
      <c r="AQ445" s="43"/>
      <c r="AR445" s="43"/>
      <c r="AS445" s="44"/>
      <c r="AT445" s="152"/>
      <c r="AU445" s="44"/>
      <c r="AW445" s="42"/>
      <c r="AX445" s="42"/>
      <c r="AY445" s="45"/>
      <c r="AZ445" s="47"/>
      <c r="BG445" s="43"/>
      <c r="BI445" s="43"/>
      <c r="BJ445" s="43"/>
      <c r="BK445" s="43"/>
      <c r="BL445" s="43"/>
      <c r="BM445" s="43"/>
      <c r="BO445" s="43"/>
      <c r="BR445" s="43"/>
      <c r="BS445" s="43"/>
      <c r="BW445" s="43"/>
      <c r="CC445" s="43"/>
      <c r="CE445" s="43"/>
      <c r="CF445" s="43"/>
      <c r="CH445" s="43"/>
      <c r="CK445" s="43"/>
    </row>
    <row r="446" spans="2:89" x14ac:dyDescent="0.25">
      <c r="B446" s="89"/>
      <c r="C446" s="123"/>
      <c r="D446" s="47"/>
      <c r="E446" s="40"/>
      <c r="F446" s="43"/>
      <c r="G446" s="43"/>
      <c r="H446" s="41"/>
      <c r="I446" s="42"/>
      <c r="J446" s="200"/>
      <c r="K446" s="84"/>
      <c r="L446" s="45"/>
      <c r="M446" s="43"/>
      <c r="N446" s="42"/>
      <c r="O446" s="42"/>
      <c r="P446" s="232"/>
      <c r="Q446" s="42"/>
      <c r="R446" s="42"/>
      <c r="S446" s="42"/>
      <c r="T446" s="42"/>
      <c r="U446" s="67"/>
      <c r="V446" s="220"/>
      <c r="W446" s="48"/>
      <c r="X446" s="49"/>
      <c r="Y446" s="43"/>
      <c r="Z446" s="49"/>
      <c r="AA446" s="43"/>
      <c r="AB446" s="43"/>
      <c r="AC446" s="49"/>
      <c r="AE446" s="43"/>
      <c r="AF446" s="69"/>
      <c r="AH446" s="150"/>
      <c r="AI446" s="46"/>
      <c r="AJ446" s="138"/>
      <c r="AK446" s="138"/>
      <c r="AL446" s="138"/>
      <c r="AM446" s="42"/>
      <c r="AO446" s="42"/>
      <c r="AQ446" s="43"/>
      <c r="AR446" s="43"/>
      <c r="AS446" s="44"/>
      <c r="AT446" s="152"/>
      <c r="AU446" s="44"/>
      <c r="AW446" s="42"/>
      <c r="AX446" s="42"/>
      <c r="AY446" s="45"/>
      <c r="AZ446" s="47"/>
      <c r="BG446" s="43"/>
      <c r="BI446" s="43"/>
      <c r="BJ446" s="43"/>
      <c r="BK446" s="43"/>
      <c r="BL446" s="43"/>
      <c r="BM446" s="43"/>
      <c r="BO446" s="43"/>
      <c r="BR446" s="43"/>
      <c r="BS446" s="43"/>
      <c r="BW446" s="43"/>
      <c r="CC446" s="43"/>
      <c r="CE446" s="43"/>
      <c r="CF446" s="43"/>
      <c r="CH446" s="43"/>
      <c r="CK446" s="43"/>
    </row>
    <row r="447" spans="2:89" x14ac:dyDescent="0.25">
      <c r="B447" s="89"/>
      <c r="C447" s="123"/>
      <c r="D447" s="47"/>
      <c r="E447" s="40"/>
      <c r="F447" s="43"/>
      <c r="G447" s="43"/>
      <c r="H447" s="41"/>
      <c r="I447" s="42"/>
      <c r="J447" s="200"/>
      <c r="K447" s="84"/>
      <c r="L447" s="45"/>
      <c r="M447" s="43"/>
      <c r="N447" s="42"/>
      <c r="O447" s="42"/>
      <c r="P447" s="223"/>
      <c r="Q447" s="42"/>
      <c r="R447" s="42"/>
      <c r="S447" s="42"/>
      <c r="T447" s="42"/>
      <c r="U447" s="67"/>
      <c r="V447" s="220"/>
      <c r="W447" s="48"/>
      <c r="X447" s="49"/>
      <c r="Y447" s="43"/>
      <c r="Z447" s="49"/>
      <c r="AA447" s="43"/>
      <c r="AB447" s="43"/>
      <c r="AC447" s="49"/>
      <c r="AE447" s="43"/>
      <c r="AF447" s="69"/>
      <c r="AH447" s="150"/>
      <c r="AI447" s="46"/>
      <c r="AJ447" s="138"/>
      <c r="AK447" s="138"/>
      <c r="AL447" s="138"/>
      <c r="AM447" s="42"/>
      <c r="AO447" s="42"/>
      <c r="AQ447" s="43"/>
      <c r="AR447" s="43"/>
      <c r="AS447" s="44"/>
      <c r="AT447" s="152"/>
      <c r="AU447" s="44"/>
      <c r="AW447" s="42"/>
      <c r="AX447" s="42"/>
      <c r="AY447" s="45"/>
      <c r="AZ447" s="47"/>
      <c r="BG447" s="43"/>
      <c r="BI447" s="43"/>
      <c r="BJ447" s="43"/>
      <c r="BK447" s="43"/>
      <c r="BL447" s="43"/>
      <c r="BM447" s="43"/>
      <c r="BO447" s="43"/>
      <c r="BR447" s="43"/>
      <c r="BS447" s="43"/>
      <c r="BW447" s="43"/>
      <c r="CC447" s="43"/>
      <c r="CE447" s="43"/>
      <c r="CF447" s="43"/>
      <c r="CH447" s="43"/>
      <c r="CK447" s="43"/>
    </row>
    <row r="448" spans="2:89" x14ac:dyDescent="0.25">
      <c r="B448" s="89"/>
      <c r="C448" s="123"/>
      <c r="D448" s="47"/>
      <c r="E448" s="40"/>
      <c r="F448" s="43"/>
      <c r="G448" s="43"/>
      <c r="H448" s="41"/>
      <c r="I448" s="42"/>
      <c r="J448" s="245"/>
      <c r="K448" s="84"/>
      <c r="L448" s="45"/>
      <c r="M448" s="50"/>
      <c r="N448" s="42"/>
      <c r="O448" s="42"/>
      <c r="P448" s="223"/>
      <c r="Q448" s="42"/>
      <c r="R448" s="42"/>
      <c r="S448" s="42"/>
      <c r="T448" s="42"/>
      <c r="U448" s="67"/>
      <c r="V448" s="220"/>
      <c r="W448" s="48"/>
      <c r="X448" s="49"/>
      <c r="Y448" s="43"/>
      <c r="Z448" s="49"/>
      <c r="AA448" s="43"/>
      <c r="AB448" s="43"/>
      <c r="AC448" s="49"/>
      <c r="AE448" s="43"/>
      <c r="AF448" s="69"/>
      <c r="AH448" s="151"/>
      <c r="AI448" s="46"/>
      <c r="AJ448" s="138"/>
      <c r="AK448" s="138"/>
      <c r="AL448" s="138"/>
      <c r="AM448" s="42"/>
      <c r="AO448" s="42"/>
      <c r="AQ448" s="43"/>
      <c r="AR448" s="43"/>
      <c r="AS448" s="44"/>
      <c r="AT448" s="152"/>
      <c r="AU448" s="44"/>
      <c r="AW448" s="42"/>
      <c r="AX448" s="42"/>
      <c r="AY448" s="45"/>
      <c r="AZ448" s="47"/>
      <c r="BG448" s="43"/>
      <c r="BI448" s="43"/>
      <c r="BJ448" s="43"/>
      <c r="BK448" s="43"/>
      <c r="BL448" s="43"/>
      <c r="BM448" s="43"/>
      <c r="BO448" s="43"/>
      <c r="BR448" s="43"/>
      <c r="BS448" s="43"/>
      <c r="BW448" s="43"/>
      <c r="CC448" s="43"/>
      <c r="CE448" s="43"/>
      <c r="CF448" s="43"/>
      <c r="CH448" s="43"/>
      <c r="CK448" s="43"/>
    </row>
    <row r="449" spans="2:89" x14ac:dyDescent="0.25">
      <c r="B449" s="89"/>
      <c r="C449" s="123"/>
      <c r="D449" s="47"/>
      <c r="E449" s="40"/>
      <c r="F449" s="43"/>
      <c r="G449" s="43"/>
      <c r="H449" s="41"/>
      <c r="I449" s="42"/>
      <c r="J449" s="42"/>
      <c r="K449" s="84"/>
      <c r="L449" s="45"/>
      <c r="M449" s="43"/>
      <c r="N449" s="42"/>
      <c r="O449" s="42"/>
      <c r="P449" s="229"/>
      <c r="Q449" s="42"/>
      <c r="R449" s="42"/>
      <c r="S449" s="42"/>
      <c r="T449" s="42"/>
      <c r="U449" s="67"/>
      <c r="V449" s="220"/>
      <c r="W449" s="48"/>
      <c r="X449" s="49"/>
      <c r="Y449" s="43"/>
      <c r="Z449" s="49"/>
      <c r="AA449" s="43"/>
      <c r="AB449" s="43"/>
      <c r="AC449" s="49"/>
      <c r="AE449" s="43"/>
      <c r="AF449" s="69"/>
      <c r="AI449" s="46"/>
      <c r="AJ449" s="138"/>
      <c r="AK449" s="138"/>
      <c r="AL449" s="138"/>
      <c r="AM449" s="42"/>
      <c r="AO449" s="42"/>
      <c r="AQ449" s="43"/>
      <c r="AR449" s="43"/>
      <c r="AS449" s="44"/>
      <c r="AT449" s="44"/>
      <c r="AU449" s="44"/>
      <c r="AW449" s="42"/>
      <c r="AX449" s="42"/>
      <c r="AY449" s="45"/>
      <c r="AZ449" s="47"/>
      <c r="BG449" s="43"/>
      <c r="BI449" s="43"/>
      <c r="BJ449" s="43"/>
      <c r="BK449" s="43"/>
      <c r="BL449" s="43"/>
      <c r="BM449" s="43"/>
      <c r="BO449" s="43"/>
      <c r="BR449" s="43"/>
      <c r="BS449" s="43"/>
      <c r="BW449" s="43"/>
      <c r="CC449" s="43"/>
      <c r="CE449" s="43"/>
      <c r="CF449" s="43"/>
      <c r="CH449" s="43"/>
      <c r="CK449" s="43"/>
    </row>
    <row r="450" spans="2:89" x14ac:dyDescent="0.25">
      <c r="B450" s="89"/>
      <c r="C450" s="123"/>
      <c r="D450" s="47"/>
      <c r="E450" s="40"/>
      <c r="F450" s="43"/>
      <c r="G450" s="43"/>
      <c r="H450" s="41"/>
      <c r="I450" s="42"/>
      <c r="J450" s="42"/>
      <c r="K450" s="84"/>
      <c r="L450" s="45"/>
      <c r="M450" s="43"/>
      <c r="N450" s="42"/>
      <c r="O450" s="42"/>
      <c r="P450" s="223"/>
      <c r="Q450" s="42"/>
      <c r="R450" s="42"/>
      <c r="S450" s="42"/>
      <c r="T450" s="42"/>
      <c r="U450" s="67"/>
      <c r="V450" s="220"/>
      <c r="W450" s="48"/>
      <c r="X450" s="49"/>
      <c r="Y450" s="43"/>
      <c r="Z450" s="49"/>
      <c r="AA450" s="43"/>
      <c r="AB450" s="43"/>
      <c r="AC450" s="49"/>
      <c r="AE450" s="43"/>
      <c r="AF450" s="69"/>
      <c r="AI450" s="46"/>
      <c r="AJ450" s="138"/>
      <c r="AK450" s="138"/>
      <c r="AL450" s="138"/>
      <c r="AM450" s="42"/>
      <c r="AO450" s="42"/>
      <c r="AQ450" s="43"/>
      <c r="AR450" s="43"/>
      <c r="AS450" s="44"/>
      <c r="AT450" s="44"/>
      <c r="AU450" s="44"/>
      <c r="AW450" s="42"/>
      <c r="AX450" s="42"/>
      <c r="AY450" s="45"/>
      <c r="AZ450" s="47"/>
      <c r="BG450" s="43"/>
      <c r="BI450" s="43"/>
      <c r="BJ450" s="43"/>
      <c r="BK450" s="43"/>
      <c r="BL450" s="43"/>
      <c r="BM450" s="43"/>
      <c r="BO450" s="43"/>
      <c r="BR450" s="43"/>
      <c r="BS450" s="43"/>
      <c r="BW450" s="43"/>
      <c r="CC450" s="43"/>
      <c r="CE450" s="43"/>
      <c r="CF450" s="43"/>
      <c r="CH450" s="43"/>
      <c r="CK450" s="43"/>
    </row>
    <row r="451" spans="2:89" ht="15.75" customHeight="1" x14ac:dyDescent="0.25">
      <c r="B451" s="89"/>
      <c r="C451" s="123"/>
      <c r="D451" s="47"/>
      <c r="E451" s="40"/>
      <c r="F451" s="43"/>
      <c r="G451" s="43"/>
      <c r="H451" s="41"/>
      <c r="I451" s="42"/>
      <c r="J451" s="42"/>
      <c r="K451" s="84"/>
      <c r="L451" s="45"/>
      <c r="M451" s="43"/>
      <c r="N451" s="42"/>
      <c r="O451" s="42"/>
      <c r="P451" s="232"/>
      <c r="Q451" s="42"/>
      <c r="R451" s="42"/>
      <c r="S451" s="42"/>
      <c r="T451" s="42"/>
      <c r="U451" s="67"/>
      <c r="V451" s="235"/>
      <c r="W451" s="48"/>
      <c r="X451" s="49"/>
      <c r="Y451" s="43"/>
      <c r="Z451" s="49"/>
      <c r="AA451" s="43"/>
      <c r="AB451" s="43"/>
      <c r="AC451" s="49"/>
      <c r="AE451" s="43"/>
      <c r="AF451" s="69"/>
      <c r="AI451" s="46"/>
      <c r="AJ451" s="138"/>
      <c r="AK451" s="138"/>
      <c r="AL451" s="138"/>
      <c r="AM451" s="42"/>
      <c r="AO451" s="42"/>
      <c r="AQ451" s="43"/>
      <c r="AR451" s="43"/>
      <c r="AS451" s="44"/>
      <c r="AT451" s="44"/>
      <c r="AU451" s="44"/>
      <c r="AW451" s="42"/>
      <c r="AX451" s="42"/>
      <c r="AY451" s="45"/>
      <c r="AZ451" s="47"/>
      <c r="BG451" s="43"/>
      <c r="BI451" s="43"/>
      <c r="BJ451" s="43"/>
      <c r="BK451" s="43"/>
      <c r="BL451" s="43"/>
      <c r="BM451" s="43"/>
      <c r="BO451" s="43"/>
      <c r="BR451" s="43"/>
      <c r="BS451" s="43"/>
      <c r="BW451" s="43"/>
      <c r="CC451" s="43"/>
      <c r="CE451" s="43"/>
      <c r="CF451" s="43"/>
      <c r="CH451" s="43"/>
      <c r="CK451" s="43"/>
    </row>
    <row r="452" spans="2:89" x14ac:dyDescent="0.25">
      <c r="B452" s="89"/>
      <c r="C452" s="123"/>
      <c r="D452" s="47"/>
      <c r="E452" s="40"/>
      <c r="F452" s="43"/>
      <c r="G452" s="43"/>
      <c r="H452" s="41"/>
      <c r="I452" s="42"/>
      <c r="J452" s="42"/>
      <c r="K452" s="84"/>
      <c r="L452" s="45"/>
      <c r="M452" s="43"/>
      <c r="N452" s="42"/>
      <c r="O452" s="42"/>
      <c r="P452" s="42"/>
      <c r="Q452" s="42"/>
      <c r="R452" s="42"/>
      <c r="S452" s="42"/>
      <c r="T452" s="42"/>
      <c r="U452" s="67"/>
      <c r="V452" s="220"/>
      <c r="W452" s="48"/>
      <c r="X452" s="49"/>
      <c r="Y452" s="43"/>
      <c r="Z452" s="49"/>
      <c r="AA452" s="43"/>
      <c r="AB452" s="43"/>
      <c r="AC452" s="49"/>
      <c r="AE452" s="43"/>
      <c r="AF452" s="69"/>
      <c r="AI452" s="46"/>
      <c r="AJ452" s="138"/>
      <c r="AK452" s="138"/>
      <c r="AL452" s="138"/>
      <c r="AM452" s="42"/>
      <c r="AO452" s="42"/>
      <c r="AQ452" s="43"/>
      <c r="AR452" s="43"/>
      <c r="AS452" s="44"/>
      <c r="AT452" s="152"/>
      <c r="AU452" s="44"/>
      <c r="AW452" s="42"/>
      <c r="AX452" s="42"/>
      <c r="AY452" s="45"/>
      <c r="AZ452" s="47"/>
      <c r="BG452" s="43"/>
      <c r="BI452" s="43"/>
      <c r="BJ452" s="43"/>
      <c r="BK452" s="43"/>
      <c r="BL452" s="43"/>
      <c r="BM452" s="43"/>
      <c r="BO452" s="43"/>
      <c r="BR452" s="43"/>
      <c r="BS452" s="43"/>
      <c r="BW452" s="43"/>
      <c r="CC452" s="43"/>
      <c r="CE452" s="43"/>
      <c r="CF452" s="43"/>
      <c r="CH452" s="43"/>
      <c r="CK452" s="43"/>
    </row>
    <row r="453" spans="2:89" x14ac:dyDescent="0.25">
      <c r="B453" s="89"/>
      <c r="C453" s="123"/>
      <c r="D453" s="47"/>
      <c r="E453" s="40"/>
      <c r="F453" s="43"/>
      <c r="G453" s="43"/>
      <c r="H453" s="41"/>
      <c r="I453" s="42"/>
      <c r="J453" s="42"/>
      <c r="K453" s="84"/>
      <c r="L453" s="45"/>
      <c r="M453" s="50"/>
      <c r="N453" s="42"/>
      <c r="O453" s="42"/>
      <c r="P453" s="42"/>
      <c r="Q453" s="42"/>
      <c r="R453" s="42"/>
      <c r="S453" s="42"/>
      <c r="T453" s="42"/>
      <c r="U453" s="67"/>
      <c r="V453" s="220"/>
      <c r="W453" s="48"/>
      <c r="X453" s="49"/>
      <c r="Y453" s="43"/>
      <c r="Z453" s="49"/>
      <c r="AA453" s="43"/>
      <c r="AB453" s="43"/>
      <c r="AC453" s="49"/>
      <c r="AE453" s="43"/>
      <c r="AF453" s="69"/>
      <c r="AI453" s="46"/>
      <c r="AJ453" s="138"/>
      <c r="AK453" s="138"/>
      <c r="AL453" s="138"/>
      <c r="AM453" s="42"/>
      <c r="AO453" s="42"/>
      <c r="AQ453" s="43"/>
      <c r="AR453" s="43"/>
      <c r="AS453" s="44"/>
      <c r="AT453" s="44"/>
      <c r="AU453" s="44"/>
      <c r="AW453" s="42"/>
      <c r="AX453" s="42"/>
      <c r="AY453" s="45"/>
      <c r="AZ453" s="47"/>
      <c r="BG453" s="43"/>
      <c r="BI453" s="43"/>
      <c r="BJ453" s="43"/>
      <c r="BK453" s="43"/>
      <c r="BL453" s="43"/>
      <c r="BM453" s="43"/>
      <c r="BO453" s="43"/>
      <c r="BR453" s="43"/>
      <c r="BS453" s="43"/>
      <c r="BW453" s="43"/>
      <c r="CC453" s="43"/>
      <c r="CE453" s="43"/>
      <c r="CF453" s="43"/>
      <c r="CH453" s="43"/>
      <c r="CK453" s="43"/>
    </row>
    <row r="454" spans="2:89" x14ac:dyDescent="0.25">
      <c r="B454" s="89"/>
      <c r="C454" s="123"/>
      <c r="D454" s="47"/>
      <c r="E454" s="40"/>
      <c r="F454" s="43"/>
      <c r="G454" s="43"/>
      <c r="H454" s="41"/>
      <c r="I454" s="42"/>
      <c r="J454" s="42"/>
      <c r="K454" s="84"/>
      <c r="L454" s="45"/>
      <c r="M454" s="50"/>
      <c r="N454" s="42"/>
      <c r="O454" s="42"/>
      <c r="P454" s="42"/>
      <c r="Q454" s="42"/>
      <c r="R454" s="42"/>
      <c r="S454" s="42"/>
      <c r="T454" s="42"/>
      <c r="U454" s="67"/>
      <c r="V454" s="220"/>
      <c r="W454" s="48"/>
      <c r="X454" s="49"/>
      <c r="Y454" s="43"/>
      <c r="Z454" s="49"/>
      <c r="AA454" s="43"/>
      <c r="AB454" s="43"/>
      <c r="AC454" s="49"/>
      <c r="AE454" s="43"/>
      <c r="AF454" s="69"/>
      <c r="AI454" s="46"/>
      <c r="AJ454" s="138"/>
      <c r="AK454" s="138"/>
      <c r="AL454" s="138"/>
      <c r="AM454" s="42"/>
      <c r="AO454" s="42"/>
      <c r="AQ454" s="43"/>
      <c r="AR454" s="43"/>
      <c r="AS454" s="44"/>
      <c r="AT454" s="44"/>
      <c r="AU454" s="44"/>
      <c r="AW454" s="42"/>
      <c r="AX454" s="42"/>
      <c r="AY454" s="45"/>
      <c r="AZ454" s="47"/>
      <c r="BG454" s="43"/>
      <c r="BI454" s="43"/>
      <c r="BJ454" s="43"/>
      <c r="BK454" s="43"/>
      <c r="BL454" s="43"/>
      <c r="BM454" s="43"/>
      <c r="BO454" s="43"/>
      <c r="BR454" s="43"/>
      <c r="BS454" s="43"/>
      <c r="BW454" s="43"/>
      <c r="CC454" s="43"/>
      <c r="CE454" s="43"/>
      <c r="CF454" s="43"/>
      <c r="CH454" s="43"/>
      <c r="CK454" s="43"/>
    </row>
    <row r="455" spans="2:89" x14ac:dyDescent="0.25">
      <c r="B455" s="89"/>
      <c r="C455" s="123"/>
      <c r="D455" s="47"/>
      <c r="E455" s="40"/>
      <c r="F455" s="43"/>
      <c r="G455" s="43"/>
      <c r="H455" s="41"/>
      <c r="I455" s="42"/>
      <c r="J455" s="42"/>
      <c r="K455" s="84"/>
      <c r="L455" s="45"/>
      <c r="M455" s="50"/>
      <c r="N455" s="42"/>
      <c r="O455" s="42"/>
      <c r="P455" s="229"/>
      <c r="Q455" s="42"/>
      <c r="R455" s="42"/>
      <c r="S455" s="42"/>
      <c r="T455" s="42"/>
      <c r="U455" s="67"/>
      <c r="V455" s="220"/>
      <c r="W455" s="48"/>
      <c r="X455" s="49"/>
      <c r="Y455" s="43"/>
      <c r="Z455" s="49"/>
      <c r="AA455" s="43"/>
      <c r="AB455" s="43"/>
      <c r="AC455" s="49"/>
      <c r="AE455" s="43"/>
      <c r="AF455" s="69"/>
      <c r="AI455" s="46"/>
      <c r="AJ455" s="138"/>
      <c r="AK455" s="138"/>
      <c r="AL455" s="138"/>
      <c r="AM455" s="42"/>
      <c r="AO455" s="42"/>
      <c r="AQ455" s="43"/>
      <c r="AR455" s="43"/>
      <c r="AS455" s="44"/>
      <c r="AT455" s="44"/>
      <c r="AU455" s="44"/>
      <c r="AW455" s="42"/>
      <c r="AX455" s="42"/>
      <c r="AY455" s="45"/>
      <c r="AZ455" s="47"/>
      <c r="BG455" s="43"/>
      <c r="BI455" s="43"/>
      <c r="BJ455" s="43"/>
      <c r="BK455" s="43"/>
      <c r="BL455" s="43"/>
      <c r="BM455" s="43"/>
      <c r="BO455" s="43"/>
      <c r="BR455" s="43"/>
      <c r="BS455" s="43"/>
      <c r="BW455" s="43"/>
      <c r="CC455" s="43"/>
      <c r="CE455" s="43"/>
      <c r="CF455" s="43"/>
      <c r="CH455" s="43"/>
      <c r="CK455" s="43"/>
    </row>
    <row r="456" spans="2:89" x14ac:dyDescent="0.25">
      <c r="B456" s="89"/>
      <c r="C456" s="123"/>
      <c r="D456" s="47"/>
      <c r="E456" s="40"/>
      <c r="F456" s="43"/>
      <c r="G456" s="43"/>
      <c r="H456" s="41"/>
      <c r="I456" s="42"/>
      <c r="J456" s="42"/>
      <c r="K456" s="84"/>
      <c r="L456" s="45"/>
      <c r="M456" s="50"/>
      <c r="N456" s="42"/>
      <c r="O456" s="42"/>
      <c r="P456" s="229"/>
      <c r="Q456" s="42"/>
      <c r="R456" s="42"/>
      <c r="S456" s="42"/>
      <c r="T456" s="42"/>
      <c r="U456" s="67"/>
      <c r="V456" s="220"/>
      <c r="W456" s="48"/>
      <c r="X456" s="49"/>
      <c r="Y456" s="43"/>
      <c r="Z456" s="49"/>
      <c r="AA456" s="43"/>
      <c r="AB456" s="43"/>
      <c r="AC456" s="49"/>
      <c r="AE456" s="43"/>
      <c r="AF456" s="69"/>
      <c r="AI456" s="46"/>
      <c r="AJ456" s="138"/>
      <c r="AK456" s="138"/>
      <c r="AL456" s="138"/>
      <c r="AM456" s="42"/>
      <c r="AO456" s="42"/>
      <c r="AQ456" s="43"/>
      <c r="AR456" s="43"/>
      <c r="AS456" s="44"/>
      <c r="AT456" s="44"/>
      <c r="AU456" s="44"/>
      <c r="AW456" s="42"/>
      <c r="AX456" s="42"/>
      <c r="AY456" s="45"/>
      <c r="AZ456" s="47"/>
      <c r="BG456" s="43"/>
      <c r="BI456" s="43"/>
      <c r="BJ456" s="43"/>
      <c r="BK456" s="43"/>
      <c r="BL456" s="43"/>
      <c r="BM456" s="43"/>
      <c r="BO456" s="43"/>
      <c r="BR456" s="43"/>
      <c r="BS456" s="43"/>
      <c r="BW456" s="43"/>
      <c r="CC456" s="43"/>
      <c r="CE456" s="43"/>
      <c r="CF456" s="43"/>
      <c r="CH456" s="43"/>
      <c r="CK456" s="43"/>
    </row>
    <row r="457" spans="2:89" x14ac:dyDescent="0.25">
      <c r="B457" s="89"/>
      <c r="C457" s="123"/>
      <c r="D457" s="47"/>
      <c r="E457" s="40"/>
      <c r="F457" s="43"/>
      <c r="G457" s="43"/>
      <c r="H457" s="41"/>
      <c r="I457" s="42"/>
      <c r="J457" s="42"/>
      <c r="K457" s="84"/>
      <c r="L457" s="45"/>
      <c r="M457" s="50"/>
      <c r="N457" s="42"/>
      <c r="O457" s="42"/>
      <c r="P457" s="42"/>
      <c r="Q457" s="42"/>
      <c r="R457" s="42"/>
      <c r="S457" s="42"/>
      <c r="T457" s="42"/>
      <c r="U457" s="67"/>
      <c r="V457" s="220"/>
      <c r="W457" s="48"/>
      <c r="X457" s="49"/>
      <c r="Y457" s="43"/>
      <c r="Z457" s="49"/>
      <c r="AA457" s="43"/>
      <c r="AB457" s="43"/>
      <c r="AC457" s="49"/>
      <c r="AE457" s="43"/>
      <c r="AF457" s="69"/>
      <c r="AI457" s="46"/>
      <c r="AJ457" s="138"/>
      <c r="AK457" s="138"/>
      <c r="AL457" s="138"/>
      <c r="AM457" s="42"/>
      <c r="AO457" s="42"/>
      <c r="AQ457" s="43"/>
      <c r="AR457" s="43"/>
      <c r="AS457" s="44"/>
      <c r="AT457" s="44"/>
      <c r="AU457" s="44"/>
      <c r="AW457" s="42"/>
      <c r="AX457" s="42"/>
      <c r="AY457" s="45"/>
      <c r="AZ457" s="47"/>
      <c r="BG457" s="43"/>
      <c r="BI457" s="43"/>
      <c r="BJ457" s="43"/>
      <c r="BK457" s="43"/>
      <c r="BL457" s="43"/>
      <c r="BM457" s="43"/>
      <c r="BO457" s="43"/>
      <c r="BR457" s="43"/>
      <c r="BS457" s="43"/>
      <c r="BW457" s="43"/>
      <c r="CC457" s="43"/>
      <c r="CE457" s="43"/>
      <c r="CF457" s="43"/>
      <c r="CH457" s="43"/>
      <c r="CK457" s="43"/>
    </row>
    <row r="458" spans="2:89" x14ac:dyDescent="0.25">
      <c r="B458" s="89"/>
      <c r="C458" s="123"/>
      <c r="D458" s="47"/>
      <c r="E458" s="40"/>
      <c r="F458" s="43"/>
      <c r="G458" s="43"/>
      <c r="H458" s="41"/>
      <c r="I458" s="42"/>
      <c r="J458" s="42"/>
      <c r="K458" s="84"/>
      <c r="L458" s="45"/>
      <c r="M458" s="43"/>
      <c r="N458" s="42"/>
      <c r="O458" s="42"/>
      <c r="P458" s="229"/>
      <c r="Q458" s="42"/>
      <c r="R458" s="42"/>
      <c r="S458" s="42"/>
      <c r="T458" s="42"/>
      <c r="U458" s="67"/>
      <c r="V458" s="220"/>
      <c r="W458" s="48"/>
      <c r="X458" s="49"/>
      <c r="Y458" s="43"/>
      <c r="Z458" s="49"/>
      <c r="AA458" s="43"/>
      <c r="AB458" s="43"/>
      <c r="AC458" s="49"/>
      <c r="AE458" s="43"/>
      <c r="AF458" s="69"/>
      <c r="AI458" s="46"/>
      <c r="AJ458" s="138"/>
      <c r="AK458" s="138"/>
      <c r="AL458" s="138"/>
      <c r="AM458" s="42"/>
      <c r="AO458" s="42"/>
      <c r="AQ458" s="43"/>
      <c r="AR458" s="43"/>
      <c r="AS458" s="44"/>
      <c r="AT458" s="152"/>
      <c r="AU458" s="44"/>
      <c r="AW458" s="42"/>
      <c r="AX458" s="42"/>
      <c r="AY458" s="45"/>
      <c r="AZ458" s="47"/>
      <c r="BG458" s="43"/>
      <c r="BI458" s="43"/>
      <c r="BJ458" s="43"/>
      <c r="BK458" s="43"/>
      <c r="BL458" s="43"/>
      <c r="BM458" s="43"/>
      <c r="BO458" s="43"/>
      <c r="BR458" s="43"/>
      <c r="BS458" s="43"/>
      <c r="BW458" s="43"/>
      <c r="CC458" s="43"/>
      <c r="CE458" s="43"/>
      <c r="CF458" s="43"/>
      <c r="CH458" s="43"/>
      <c r="CK458" s="43"/>
    </row>
    <row r="459" spans="2:89" x14ac:dyDescent="0.25">
      <c r="B459" s="89"/>
      <c r="C459" s="123"/>
      <c r="D459" s="47"/>
      <c r="E459" s="40"/>
      <c r="F459" s="43"/>
      <c r="G459" s="43"/>
      <c r="H459" s="41"/>
      <c r="I459" s="42"/>
      <c r="J459" s="42"/>
      <c r="K459" s="84"/>
      <c r="L459" s="45"/>
      <c r="M459" s="43"/>
      <c r="N459" s="42"/>
      <c r="O459" s="42"/>
      <c r="P459" s="42"/>
      <c r="Q459" s="42"/>
      <c r="R459" s="42"/>
      <c r="S459" s="42"/>
      <c r="T459" s="42"/>
      <c r="U459" s="67"/>
      <c r="V459" s="220"/>
      <c r="W459" s="48"/>
      <c r="X459" s="49"/>
      <c r="Y459" s="43"/>
      <c r="Z459" s="49"/>
      <c r="AA459" s="43"/>
      <c r="AB459" s="43"/>
      <c r="AC459" s="49"/>
      <c r="AE459" s="43"/>
      <c r="AF459" s="69"/>
      <c r="AI459" s="46"/>
      <c r="AJ459" s="138"/>
      <c r="AK459" s="138"/>
      <c r="AL459" s="138"/>
      <c r="AM459" s="42"/>
      <c r="AO459" s="42"/>
      <c r="AQ459" s="43"/>
      <c r="AR459" s="43"/>
      <c r="AS459" s="44"/>
      <c r="AT459" s="44"/>
      <c r="AU459" s="44"/>
      <c r="AW459" s="42"/>
      <c r="AX459" s="42"/>
      <c r="AY459" s="45"/>
      <c r="AZ459" s="47"/>
      <c r="BG459" s="43"/>
      <c r="BI459" s="43"/>
      <c r="BJ459" s="43"/>
      <c r="BK459" s="43"/>
      <c r="BL459" s="43"/>
      <c r="BM459" s="43"/>
      <c r="BO459" s="43"/>
      <c r="BR459" s="43"/>
      <c r="BS459" s="43"/>
      <c r="BW459" s="43"/>
      <c r="CC459" s="43"/>
      <c r="CE459" s="43"/>
      <c r="CF459" s="43"/>
      <c r="CH459" s="43"/>
      <c r="CK459" s="43"/>
    </row>
    <row r="460" spans="2:89" ht="15.75" customHeight="1" x14ac:dyDescent="0.25">
      <c r="B460" s="89"/>
      <c r="C460" s="123"/>
      <c r="D460" s="47"/>
      <c r="E460" s="40"/>
      <c r="F460" s="43"/>
      <c r="G460" s="43"/>
      <c r="H460" s="41"/>
      <c r="I460" s="42"/>
      <c r="J460" s="42"/>
      <c r="K460" s="84"/>
      <c r="L460" s="45"/>
      <c r="M460" s="43"/>
      <c r="N460" s="42"/>
      <c r="O460" s="42"/>
      <c r="P460" s="42"/>
      <c r="Q460" s="42"/>
      <c r="R460" s="42"/>
      <c r="S460" s="42"/>
      <c r="T460" s="42"/>
      <c r="U460" s="67"/>
      <c r="V460" s="220"/>
      <c r="W460" s="48"/>
      <c r="X460" s="49"/>
      <c r="Y460" s="43"/>
      <c r="Z460" s="49"/>
      <c r="AA460" s="43"/>
      <c r="AB460" s="43"/>
      <c r="AC460" s="49"/>
      <c r="AE460" s="43"/>
      <c r="AF460" s="69"/>
      <c r="AI460" s="46"/>
      <c r="AJ460" s="138"/>
      <c r="AK460" s="138"/>
      <c r="AL460" s="138"/>
      <c r="AM460" s="42"/>
      <c r="AO460" s="42"/>
      <c r="AQ460" s="43"/>
      <c r="AR460" s="43"/>
      <c r="AS460" s="44"/>
      <c r="AT460" s="44"/>
      <c r="AU460" s="44"/>
      <c r="AW460" s="42"/>
      <c r="AX460" s="42"/>
      <c r="AY460" s="45"/>
      <c r="AZ460" s="47"/>
      <c r="BG460" s="43"/>
      <c r="BI460" s="43"/>
      <c r="BJ460" s="43"/>
      <c r="BK460" s="43"/>
      <c r="BL460" s="43"/>
      <c r="BM460" s="43"/>
      <c r="BO460" s="43"/>
      <c r="BR460" s="43"/>
      <c r="BS460" s="43"/>
      <c r="BW460" s="43"/>
      <c r="CC460" s="43"/>
      <c r="CE460" s="43"/>
      <c r="CF460" s="43"/>
      <c r="CH460" s="43"/>
      <c r="CK460" s="43"/>
    </row>
    <row r="461" spans="2:89" ht="15.75" customHeight="1" x14ac:dyDescent="0.25">
      <c r="B461" s="89"/>
      <c r="C461" s="123"/>
      <c r="D461" s="47"/>
      <c r="E461" s="40"/>
      <c r="F461" s="43"/>
      <c r="G461" s="43"/>
      <c r="H461" s="41"/>
      <c r="I461" s="42"/>
      <c r="J461" s="42"/>
      <c r="K461" s="84"/>
      <c r="L461" s="45"/>
      <c r="M461" s="43"/>
      <c r="N461" s="42"/>
      <c r="O461" s="42"/>
      <c r="P461" s="248"/>
      <c r="Q461" s="42"/>
      <c r="R461" s="42"/>
      <c r="S461" s="42"/>
      <c r="T461" s="42"/>
      <c r="U461" s="67"/>
      <c r="V461" s="220"/>
      <c r="W461" s="48"/>
      <c r="X461" s="49"/>
      <c r="Y461" s="43"/>
      <c r="Z461" s="49"/>
      <c r="AA461" s="43"/>
      <c r="AB461" s="43"/>
      <c r="AC461" s="49"/>
      <c r="AE461" s="43"/>
      <c r="AF461" s="69"/>
      <c r="AI461" s="46"/>
      <c r="AJ461" s="138"/>
      <c r="AK461" s="138"/>
      <c r="AL461" s="138"/>
      <c r="AM461" s="42"/>
      <c r="AO461" s="42"/>
      <c r="AQ461" s="43"/>
      <c r="AR461" s="43"/>
      <c r="AS461" s="44"/>
      <c r="AT461" s="44"/>
      <c r="AU461" s="44"/>
      <c r="AW461" s="42"/>
      <c r="AX461" s="42"/>
      <c r="AY461" s="45"/>
      <c r="AZ461" s="47"/>
      <c r="BG461" s="43"/>
      <c r="BI461" s="43"/>
      <c r="BJ461" s="43"/>
      <c r="BK461" s="43"/>
      <c r="BL461" s="43"/>
      <c r="BM461" s="43"/>
      <c r="BO461" s="43"/>
      <c r="BR461" s="43"/>
      <c r="BS461" s="43"/>
      <c r="BW461" s="43"/>
      <c r="CC461" s="43"/>
      <c r="CE461" s="43"/>
      <c r="CF461" s="43"/>
      <c r="CH461" s="43"/>
      <c r="CK461" s="43"/>
    </row>
    <row r="462" spans="2:89" x14ac:dyDescent="0.25">
      <c r="B462" s="89"/>
      <c r="C462" s="123"/>
      <c r="D462" s="47"/>
      <c r="E462" s="40"/>
      <c r="F462" s="43"/>
      <c r="G462" s="44"/>
      <c r="H462" s="41"/>
      <c r="I462" s="42"/>
      <c r="J462" s="42"/>
      <c r="K462" s="84"/>
      <c r="L462" s="45"/>
      <c r="M462" s="43"/>
      <c r="N462" s="42"/>
      <c r="O462" s="42"/>
      <c r="P462" s="223"/>
      <c r="Q462" s="42"/>
      <c r="R462" s="42"/>
      <c r="S462" s="42"/>
      <c r="T462" s="42"/>
      <c r="U462" s="67"/>
      <c r="V462" s="220"/>
      <c r="W462" s="48"/>
      <c r="X462" s="49"/>
      <c r="Y462" s="43"/>
      <c r="Z462" s="49"/>
      <c r="AA462" s="43"/>
      <c r="AB462" s="43"/>
      <c r="AC462" s="49"/>
      <c r="AE462" s="43"/>
      <c r="AF462" s="69"/>
      <c r="AI462" s="46"/>
      <c r="AJ462" s="138"/>
      <c r="AK462" s="138"/>
      <c r="AL462" s="138"/>
      <c r="AM462" s="42"/>
      <c r="AO462" s="42"/>
      <c r="AQ462" s="43"/>
      <c r="AR462" s="43"/>
      <c r="AS462" s="44"/>
      <c r="AT462" s="44"/>
      <c r="AU462" s="44"/>
      <c r="AW462" s="42"/>
      <c r="AX462" s="42"/>
      <c r="AY462" s="45"/>
      <c r="AZ462" s="47"/>
      <c r="BG462" s="43"/>
      <c r="BI462" s="43"/>
      <c r="BJ462" s="43"/>
      <c r="BK462" s="43"/>
      <c r="BL462" s="43"/>
      <c r="BM462" s="43"/>
      <c r="BO462" s="43"/>
      <c r="BR462" s="43"/>
      <c r="BS462" s="43"/>
      <c r="BW462" s="43"/>
      <c r="CC462" s="43"/>
      <c r="CE462" s="43"/>
      <c r="CF462" s="43"/>
      <c r="CH462" s="43"/>
      <c r="CK462" s="43"/>
    </row>
    <row r="463" spans="2:89" ht="15.75" customHeight="1" x14ac:dyDescent="0.25">
      <c r="B463" s="89"/>
      <c r="C463" s="123"/>
      <c r="D463" s="47"/>
      <c r="E463" s="40"/>
      <c r="F463" s="43"/>
      <c r="G463" s="43"/>
      <c r="H463" s="41"/>
      <c r="I463" s="42"/>
      <c r="J463" s="42"/>
      <c r="K463" s="84"/>
      <c r="L463" s="45"/>
      <c r="M463" s="43"/>
      <c r="N463" s="42"/>
      <c r="O463" s="42"/>
      <c r="P463" s="200"/>
      <c r="Q463" s="42"/>
      <c r="R463" s="42"/>
      <c r="S463" s="42"/>
      <c r="T463" s="42"/>
      <c r="U463" s="67"/>
      <c r="V463" s="220"/>
      <c r="W463" s="48"/>
      <c r="X463" s="49"/>
      <c r="Y463" s="43"/>
      <c r="Z463" s="49"/>
      <c r="AA463" s="43"/>
      <c r="AB463" s="43"/>
      <c r="AC463" s="49"/>
      <c r="AE463" s="43"/>
      <c r="AF463" s="69"/>
      <c r="AI463" s="46"/>
      <c r="AJ463" s="138"/>
      <c r="AK463" s="138"/>
      <c r="AL463" s="138"/>
      <c r="AM463" s="42"/>
      <c r="AO463" s="42"/>
      <c r="AQ463" s="43"/>
      <c r="AR463" s="43"/>
      <c r="AS463" s="44"/>
      <c r="AT463" s="44"/>
      <c r="AU463" s="44"/>
      <c r="AW463" s="42"/>
      <c r="AX463" s="42"/>
      <c r="AY463" s="45"/>
      <c r="AZ463" s="47"/>
      <c r="BG463" s="43"/>
      <c r="BI463" s="43"/>
      <c r="BJ463" s="43"/>
      <c r="BK463" s="43"/>
      <c r="BL463" s="43"/>
      <c r="BM463" s="43"/>
      <c r="BO463" s="43"/>
      <c r="BR463" s="43"/>
      <c r="BS463" s="43"/>
      <c r="BW463" s="43"/>
      <c r="CC463" s="43"/>
      <c r="CE463" s="43"/>
      <c r="CF463" s="43"/>
      <c r="CH463" s="43"/>
      <c r="CK463" s="43"/>
    </row>
    <row r="464" spans="2:89" x14ac:dyDescent="0.25">
      <c r="B464" s="89"/>
      <c r="C464" s="123"/>
      <c r="D464" s="47"/>
      <c r="E464" s="40"/>
      <c r="F464" s="43"/>
      <c r="G464" s="43"/>
      <c r="H464" s="41"/>
      <c r="I464" s="42"/>
      <c r="J464" s="42"/>
      <c r="K464" s="84"/>
      <c r="L464" s="45"/>
      <c r="M464" s="50"/>
      <c r="N464" s="42"/>
      <c r="O464" s="42"/>
      <c r="P464" s="229"/>
      <c r="Q464" s="42"/>
      <c r="R464" s="42"/>
      <c r="S464" s="42"/>
      <c r="T464" s="42"/>
      <c r="U464" s="67"/>
      <c r="V464" s="220"/>
      <c r="W464" s="48"/>
      <c r="X464" s="49"/>
      <c r="Y464" s="43"/>
      <c r="Z464" s="49"/>
      <c r="AA464" s="43"/>
      <c r="AB464" s="43"/>
      <c r="AC464" s="49"/>
      <c r="AE464" s="43"/>
      <c r="AF464" s="69"/>
      <c r="AI464" s="46"/>
      <c r="AJ464" s="138"/>
      <c r="AK464" s="138"/>
      <c r="AL464" s="138"/>
      <c r="AM464" s="42"/>
      <c r="AO464" s="42"/>
      <c r="AQ464" s="43"/>
      <c r="AR464" s="43"/>
      <c r="AS464" s="44"/>
      <c r="AT464" s="44"/>
      <c r="AU464" s="44"/>
      <c r="AW464" s="42"/>
      <c r="AX464" s="42"/>
      <c r="AY464" s="45"/>
      <c r="AZ464" s="47"/>
      <c r="BG464" s="43"/>
      <c r="BI464" s="43"/>
      <c r="BJ464" s="43"/>
      <c r="BK464" s="43"/>
      <c r="BL464" s="43"/>
      <c r="BM464" s="43"/>
      <c r="BO464" s="43"/>
      <c r="BR464" s="43"/>
      <c r="BS464" s="43"/>
      <c r="BW464" s="43"/>
      <c r="CC464" s="43"/>
      <c r="CE464" s="43"/>
      <c r="CF464" s="43"/>
      <c r="CH464" s="43"/>
      <c r="CK464" s="43"/>
    </row>
    <row r="465" spans="2:89" x14ac:dyDescent="0.25">
      <c r="B465" s="89"/>
      <c r="C465" s="123"/>
      <c r="D465" s="47"/>
      <c r="E465" s="40"/>
      <c r="F465" s="43"/>
      <c r="G465" s="43"/>
      <c r="H465" s="41"/>
      <c r="I465" s="42"/>
      <c r="J465" s="42"/>
      <c r="K465" s="84"/>
      <c r="L465" s="45"/>
      <c r="M465" s="50"/>
      <c r="N465" s="42"/>
      <c r="O465" s="42"/>
      <c r="P465" s="200"/>
      <c r="Q465" s="42"/>
      <c r="R465" s="42"/>
      <c r="S465" s="42"/>
      <c r="T465" s="42"/>
      <c r="U465" s="67"/>
      <c r="V465" s="220"/>
      <c r="W465" s="48"/>
      <c r="X465" s="49"/>
      <c r="Y465" s="43"/>
      <c r="Z465" s="49"/>
      <c r="AA465" s="43"/>
      <c r="AB465" s="43"/>
      <c r="AC465" s="49"/>
      <c r="AE465" s="43"/>
      <c r="AF465" s="69"/>
      <c r="AI465" s="46"/>
      <c r="AJ465" s="138"/>
      <c r="AK465" s="138"/>
      <c r="AL465" s="138"/>
      <c r="AM465" s="42"/>
      <c r="AO465" s="42"/>
      <c r="AQ465" s="43"/>
      <c r="AR465" s="43"/>
      <c r="AS465" s="44"/>
      <c r="AT465" s="44"/>
      <c r="AU465" s="44"/>
      <c r="AW465" s="42"/>
      <c r="AX465" s="42"/>
      <c r="AY465" s="45"/>
      <c r="AZ465" s="47"/>
      <c r="BG465" s="43"/>
      <c r="BI465" s="43"/>
      <c r="BJ465" s="43"/>
      <c r="BK465" s="43"/>
      <c r="BL465" s="43"/>
      <c r="BM465" s="43"/>
      <c r="BO465" s="43"/>
      <c r="BR465" s="43"/>
      <c r="BS465" s="43"/>
      <c r="BW465" s="43"/>
      <c r="CC465" s="43"/>
      <c r="CE465" s="43"/>
      <c r="CF465" s="43"/>
      <c r="CH465" s="43"/>
      <c r="CK465" s="43"/>
    </row>
    <row r="466" spans="2:89" x14ac:dyDescent="0.25">
      <c r="B466" s="89"/>
      <c r="C466" s="123"/>
      <c r="D466" s="47"/>
      <c r="E466" s="40"/>
      <c r="F466" s="43"/>
      <c r="G466" s="43"/>
      <c r="H466" s="41"/>
      <c r="I466" s="42"/>
      <c r="J466" s="42"/>
      <c r="K466" s="84"/>
      <c r="L466" s="45"/>
      <c r="M466" s="50"/>
      <c r="N466" s="42"/>
      <c r="O466" s="42"/>
      <c r="P466" s="229"/>
      <c r="Q466" s="42"/>
      <c r="R466" s="42"/>
      <c r="S466" s="42"/>
      <c r="T466" s="42"/>
      <c r="U466" s="67"/>
      <c r="V466" s="220"/>
      <c r="W466" s="48"/>
      <c r="X466" s="49"/>
      <c r="Y466" s="43"/>
      <c r="Z466" s="49"/>
      <c r="AA466" s="43"/>
      <c r="AB466" s="43"/>
      <c r="AC466" s="49"/>
      <c r="AE466" s="43"/>
      <c r="AF466" s="69"/>
      <c r="AI466" s="46"/>
      <c r="AJ466" s="138"/>
      <c r="AK466" s="138"/>
      <c r="AL466" s="138"/>
      <c r="AM466" s="42"/>
      <c r="AO466" s="42"/>
      <c r="AQ466" s="43"/>
      <c r="AR466" s="43"/>
      <c r="AS466" s="44"/>
      <c r="AT466" s="44"/>
      <c r="AU466" s="44"/>
      <c r="AW466" s="42"/>
      <c r="AX466" s="42"/>
      <c r="AY466" s="45"/>
      <c r="AZ466" s="47"/>
      <c r="BG466" s="43"/>
      <c r="BI466" s="43"/>
      <c r="BJ466" s="43"/>
      <c r="BK466" s="43"/>
      <c r="BL466" s="43"/>
      <c r="BM466" s="43"/>
      <c r="BO466" s="43"/>
      <c r="BR466" s="43"/>
      <c r="BS466" s="43"/>
      <c r="BW466" s="43"/>
      <c r="CC466" s="43"/>
      <c r="CE466" s="43"/>
      <c r="CF466" s="43"/>
      <c r="CH466" s="43"/>
      <c r="CK466" s="43"/>
    </row>
    <row r="467" spans="2:89" ht="15.75" customHeight="1" x14ac:dyDescent="0.25">
      <c r="B467" s="89"/>
      <c r="C467" s="123"/>
      <c r="D467" s="47"/>
      <c r="E467" s="40"/>
      <c r="F467" s="43"/>
      <c r="G467" s="43"/>
      <c r="H467" s="41"/>
      <c r="I467" s="42"/>
      <c r="J467" s="42"/>
      <c r="K467" s="84"/>
      <c r="L467" s="45"/>
      <c r="M467" s="50"/>
      <c r="N467" s="42"/>
      <c r="O467" s="42"/>
      <c r="P467" s="42"/>
      <c r="Q467" s="42"/>
      <c r="R467" s="42"/>
      <c r="S467" s="42"/>
      <c r="T467" s="42"/>
      <c r="U467" s="67"/>
      <c r="V467" s="220"/>
      <c r="W467" s="48"/>
      <c r="X467" s="49"/>
      <c r="Y467" s="43"/>
      <c r="Z467" s="49"/>
      <c r="AA467" s="142"/>
      <c r="AB467" s="43"/>
      <c r="AC467" s="49"/>
      <c r="AE467" s="43"/>
      <c r="AF467" s="69"/>
      <c r="AI467" s="46"/>
      <c r="AJ467" s="138"/>
      <c r="AK467" s="138"/>
      <c r="AL467" s="138"/>
      <c r="AM467" s="42"/>
      <c r="AO467" s="42"/>
      <c r="AQ467" s="43"/>
      <c r="AR467" s="43"/>
      <c r="AS467" s="44"/>
      <c r="AT467" s="44"/>
      <c r="AU467" s="44"/>
      <c r="AW467" s="42"/>
      <c r="AX467" s="42"/>
      <c r="AY467" s="45"/>
      <c r="AZ467" s="47"/>
      <c r="BG467" s="43"/>
      <c r="BI467" s="43"/>
      <c r="BJ467" s="43"/>
      <c r="BK467" s="43"/>
      <c r="BL467" s="43"/>
      <c r="BM467" s="43"/>
      <c r="BO467" s="43"/>
      <c r="BR467" s="43"/>
      <c r="BS467" s="43"/>
      <c r="BW467" s="43"/>
      <c r="CC467" s="43"/>
      <c r="CE467" s="43"/>
      <c r="CF467" s="43"/>
      <c r="CH467" s="43"/>
      <c r="CK467" s="43"/>
    </row>
    <row r="468" spans="2:89" x14ac:dyDescent="0.25">
      <c r="B468" s="89"/>
      <c r="C468" s="123"/>
      <c r="D468" s="47"/>
      <c r="E468" s="40"/>
      <c r="F468" s="43"/>
      <c r="G468" s="43"/>
      <c r="H468" s="41"/>
      <c r="I468" s="42"/>
      <c r="J468" s="42"/>
      <c r="K468" s="84"/>
      <c r="L468" s="45"/>
      <c r="M468" s="43"/>
      <c r="N468" s="42"/>
      <c r="O468" s="42"/>
      <c r="P468" s="229"/>
      <c r="Q468" s="42"/>
      <c r="R468" s="42"/>
      <c r="S468" s="42"/>
      <c r="T468" s="42"/>
      <c r="U468" s="67"/>
      <c r="V468" s="220"/>
      <c r="W468" s="48"/>
      <c r="X468" s="49"/>
      <c r="Y468" s="43"/>
      <c r="Z468" s="49"/>
      <c r="AA468" s="43"/>
      <c r="AB468" s="43"/>
      <c r="AC468" s="49"/>
      <c r="AE468" s="43"/>
      <c r="AF468" s="69"/>
      <c r="AI468" s="46"/>
      <c r="AJ468" s="138"/>
      <c r="AK468" s="138"/>
      <c r="AL468" s="138"/>
      <c r="AM468" s="42"/>
      <c r="AO468" s="42"/>
      <c r="AQ468" s="43"/>
      <c r="AR468" s="43"/>
      <c r="AS468" s="44"/>
      <c r="AT468" s="44"/>
      <c r="AU468" s="44"/>
      <c r="AW468" s="42"/>
      <c r="AX468" s="42"/>
      <c r="AY468" s="45"/>
      <c r="AZ468" s="47"/>
      <c r="BG468" s="43"/>
      <c r="BI468" s="43"/>
      <c r="BJ468" s="43"/>
      <c r="BK468" s="43"/>
      <c r="BL468" s="43"/>
      <c r="BM468" s="43"/>
      <c r="BO468" s="43"/>
      <c r="BR468" s="43"/>
      <c r="BS468" s="43"/>
      <c r="BW468" s="43"/>
      <c r="CC468" s="43"/>
      <c r="CE468" s="43"/>
      <c r="CF468" s="43"/>
      <c r="CH468" s="43"/>
      <c r="CK468" s="43"/>
    </row>
    <row r="469" spans="2:89" ht="15.75" customHeight="1" x14ac:dyDescent="0.25">
      <c r="B469" s="89"/>
      <c r="C469" s="123"/>
      <c r="D469" s="47"/>
      <c r="E469" s="40"/>
      <c r="F469" s="43"/>
      <c r="G469" s="43"/>
      <c r="H469" s="41"/>
      <c r="I469" s="42"/>
      <c r="J469" s="42"/>
      <c r="K469" s="84"/>
      <c r="L469" s="45"/>
      <c r="M469" s="43"/>
      <c r="N469" s="42"/>
      <c r="O469" s="42"/>
      <c r="P469" s="223"/>
      <c r="Q469" s="42"/>
      <c r="R469" s="42"/>
      <c r="S469" s="42"/>
      <c r="T469" s="42"/>
      <c r="U469" s="67"/>
      <c r="V469" s="220"/>
      <c r="W469" s="48"/>
      <c r="X469" s="49"/>
      <c r="Y469" s="43"/>
      <c r="Z469" s="49"/>
      <c r="AA469" s="43"/>
      <c r="AB469" s="43"/>
      <c r="AC469" s="49"/>
      <c r="AE469" s="43"/>
      <c r="AF469" s="69"/>
      <c r="AI469" s="46"/>
      <c r="AJ469" s="138"/>
      <c r="AK469" s="138"/>
      <c r="AL469" s="138"/>
      <c r="AM469" s="42"/>
      <c r="AO469" s="42"/>
      <c r="AQ469" s="43"/>
      <c r="AR469" s="43"/>
      <c r="AS469" s="44"/>
      <c r="AT469" s="44"/>
      <c r="AU469" s="73"/>
      <c r="AW469" s="42"/>
      <c r="AX469" s="42"/>
      <c r="AY469" s="45"/>
      <c r="AZ469" s="47"/>
      <c r="BG469" s="43"/>
      <c r="BI469" s="43"/>
      <c r="BJ469" s="43"/>
      <c r="BK469" s="43"/>
      <c r="BL469" s="43"/>
      <c r="BM469" s="43"/>
      <c r="BO469" s="43"/>
      <c r="BR469" s="43"/>
      <c r="BS469" s="43"/>
      <c r="BW469" s="43"/>
      <c r="CC469" s="43"/>
      <c r="CE469" s="43"/>
      <c r="CF469" s="43"/>
      <c r="CH469" s="43"/>
      <c r="CK469" s="43"/>
    </row>
    <row r="470" spans="2:89" ht="15.75" customHeight="1" x14ac:dyDescent="0.25">
      <c r="B470" s="89"/>
      <c r="C470" s="123"/>
      <c r="D470" s="47"/>
      <c r="E470" s="40"/>
      <c r="F470" s="43"/>
      <c r="G470" s="43"/>
      <c r="H470" s="41"/>
      <c r="I470" s="42"/>
      <c r="J470" s="42"/>
      <c r="K470" s="84"/>
      <c r="L470" s="45"/>
      <c r="M470" s="43"/>
      <c r="N470" s="42"/>
      <c r="O470" s="42"/>
      <c r="P470" s="223"/>
      <c r="Q470" s="42"/>
      <c r="R470" s="42"/>
      <c r="S470" s="42"/>
      <c r="T470" s="42"/>
      <c r="U470" s="67"/>
      <c r="V470" s="222"/>
      <c r="W470" s="48"/>
      <c r="X470" s="49"/>
      <c r="Y470" s="43"/>
      <c r="Z470" s="49"/>
      <c r="AA470" s="43"/>
      <c r="AB470" s="43"/>
      <c r="AC470" s="49"/>
      <c r="AE470" s="43"/>
      <c r="AF470" s="69"/>
      <c r="AI470" s="46"/>
      <c r="AJ470" s="138"/>
      <c r="AK470" s="138"/>
      <c r="AL470" s="138"/>
      <c r="AM470" s="42"/>
      <c r="AO470" s="42"/>
      <c r="AQ470" s="43"/>
      <c r="AR470" s="43"/>
      <c r="AS470" s="44"/>
      <c r="AT470" s="44"/>
      <c r="AU470" s="44"/>
      <c r="AW470" s="42"/>
      <c r="AX470" s="42"/>
      <c r="AY470" s="45"/>
      <c r="AZ470" s="47"/>
      <c r="BG470" s="43"/>
      <c r="BI470" s="43"/>
      <c r="BJ470" s="43"/>
      <c r="BK470" s="43"/>
      <c r="BL470" s="43"/>
      <c r="BM470" s="43"/>
      <c r="BO470" s="43"/>
      <c r="BR470" s="43"/>
      <c r="BS470" s="43"/>
      <c r="BW470" s="43"/>
      <c r="CC470" s="43"/>
      <c r="CE470" s="43"/>
      <c r="CF470" s="43"/>
      <c r="CH470" s="43"/>
      <c r="CK470" s="43"/>
    </row>
    <row r="471" spans="2:89" x14ac:dyDescent="0.25">
      <c r="B471" s="89"/>
      <c r="C471" s="123"/>
      <c r="D471" s="47"/>
      <c r="E471" s="40"/>
      <c r="F471" s="43"/>
      <c r="G471" s="43"/>
      <c r="H471" s="41"/>
      <c r="I471" s="42"/>
      <c r="J471" s="42"/>
      <c r="K471" s="84"/>
      <c r="L471" s="45"/>
      <c r="M471" s="50"/>
      <c r="N471" s="42"/>
      <c r="O471" s="42"/>
      <c r="P471" s="223"/>
      <c r="Q471" s="42"/>
      <c r="R471" s="42"/>
      <c r="S471" s="42"/>
      <c r="T471" s="42"/>
      <c r="U471" s="67"/>
      <c r="V471" s="220"/>
      <c r="W471" s="48"/>
      <c r="X471" s="49"/>
      <c r="Y471" s="43"/>
      <c r="Z471" s="49"/>
      <c r="AA471" s="43"/>
      <c r="AB471" s="43"/>
      <c r="AC471" s="49"/>
      <c r="AE471" s="43"/>
      <c r="AF471" s="69"/>
      <c r="AI471" s="46"/>
      <c r="AJ471" s="138"/>
      <c r="AK471" s="138"/>
      <c r="AL471" s="138"/>
      <c r="AM471" s="42"/>
      <c r="AO471" s="42"/>
      <c r="AQ471" s="43"/>
      <c r="AR471" s="43"/>
      <c r="AS471" s="44"/>
      <c r="AT471" s="44"/>
      <c r="AU471" s="44"/>
      <c r="AW471" s="42"/>
      <c r="AX471" s="42"/>
      <c r="AY471" s="45"/>
      <c r="AZ471" s="47"/>
      <c r="BG471" s="43"/>
      <c r="BI471" s="43"/>
      <c r="BJ471" s="43"/>
      <c r="BK471" s="43"/>
      <c r="BL471" s="43"/>
      <c r="BM471" s="43"/>
      <c r="BO471" s="43"/>
      <c r="BR471" s="43"/>
      <c r="BS471" s="43"/>
      <c r="BW471" s="43"/>
      <c r="CC471" s="43"/>
      <c r="CE471" s="43"/>
      <c r="CF471" s="43"/>
      <c r="CH471" s="43"/>
      <c r="CK471" s="43"/>
    </row>
    <row r="472" spans="2:89" x14ac:dyDescent="0.25">
      <c r="B472" s="89"/>
      <c r="C472" s="123"/>
      <c r="D472" s="47"/>
      <c r="E472" s="40"/>
      <c r="F472" s="43"/>
      <c r="G472" s="43"/>
      <c r="H472" s="41"/>
      <c r="I472" s="42"/>
      <c r="J472" s="42"/>
      <c r="K472" s="84"/>
      <c r="L472" s="45"/>
      <c r="M472" s="50"/>
      <c r="N472" s="42"/>
      <c r="O472" s="42"/>
      <c r="P472" s="200"/>
      <c r="Q472" s="42"/>
      <c r="R472" s="42"/>
      <c r="S472" s="42"/>
      <c r="T472" s="42"/>
      <c r="U472" s="67"/>
      <c r="V472" s="234"/>
      <c r="W472" s="48"/>
      <c r="X472" s="49"/>
      <c r="Y472" s="43"/>
      <c r="Z472" s="49"/>
      <c r="AA472" s="43"/>
      <c r="AB472" s="43"/>
      <c r="AC472" s="49"/>
      <c r="AE472" s="43"/>
      <c r="AF472" s="69"/>
      <c r="AI472" s="46"/>
      <c r="AJ472" s="138"/>
      <c r="AK472" s="138"/>
      <c r="AL472" s="138"/>
      <c r="AM472" s="42"/>
      <c r="AO472" s="42"/>
      <c r="AQ472" s="43"/>
      <c r="AR472" s="43"/>
      <c r="AS472" s="44"/>
      <c r="AT472" s="44"/>
      <c r="AU472" s="44"/>
      <c r="AW472" s="42"/>
      <c r="AX472" s="42"/>
      <c r="AY472" s="45"/>
      <c r="AZ472" s="47"/>
      <c r="BG472" s="43"/>
      <c r="BI472" s="43"/>
      <c r="BJ472" s="43"/>
      <c r="BK472" s="43"/>
      <c r="BL472" s="43"/>
      <c r="BM472" s="43"/>
      <c r="BO472" s="43"/>
      <c r="BR472" s="43"/>
      <c r="BS472" s="43"/>
      <c r="BW472" s="43"/>
      <c r="CC472" s="43"/>
      <c r="CE472" s="43"/>
      <c r="CF472" s="43"/>
      <c r="CH472" s="43"/>
      <c r="CK472" s="43"/>
    </row>
    <row r="473" spans="2:89" ht="15.75" customHeight="1" x14ac:dyDescent="0.25">
      <c r="B473" s="89"/>
      <c r="C473" s="123"/>
      <c r="D473" s="47"/>
      <c r="E473" s="40"/>
      <c r="F473" s="43"/>
      <c r="G473" s="43"/>
      <c r="H473" s="41"/>
      <c r="I473" s="42"/>
      <c r="J473" s="42"/>
      <c r="K473" s="84"/>
      <c r="L473" s="45"/>
      <c r="M473" s="50"/>
      <c r="N473" s="42"/>
      <c r="O473" s="42"/>
      <c r="P473" s="42"/>
      <c r="Q473" s="42"/>
      <c r="R473" s="42"/>
      <c r="S473" s="42"/>
      <c r="T473" s="42"/>
      <c r="U473" s="67"/>
      <c r="V473" s="220"/>
      <c r="W473" s="48"/>
      <c r="X473" s="49"/>
      <c r="Y473" s="43"/>
      <c r="Z473" s="49"/>
      <c r="AA473" s="43"/>
      <c r="AB473" s="43"/>
      <c r="AC473" s="49"/>
      <c r="AE473" s="43"/>
      <c r="AF473" s="69"/>
      <c r="AI473" s="46"/>
      <c r="AJ473" s="138"/>
      <c r="AK473" s="138"/>
      <c r="AL473" s="138"/>
      <c r="AM473" s="42"/>
      <c r="AO473" s="42"/>
      <c r="AQ473" s="43"/>
      <c r="AR473" s="43"/>
      <c r="AS473" s="44"/>
      <c r="AT473" s="44"/>
      <c r="AU473" s="44"/>
      <c r="AW473" s="42"/>
      <c r="AX473" s="42"/>
      <c r="AY473" s="45"/>
      <c r="AZ473" s="47"/>
      <c r="BG473" s="43"/>
      <c r="BI473" s="43"/>
      <c r="BJ473" s="43"/>
      <c r="BK473" s="43"/>
      <c r="BL473" s="43"/>
      <c r="BM473" s="43"/>
      <c r="BO473" s="43"/>
      <c r="BR473" s="43"/>
      <c r="BS473" s="43"/>
      <c r="BW473" s="43"/>
      <c r="CC473" s="43"/>
      <c r="CE473" s="43"/>
      <c r="CF473" s="43"/>
      <c r="CH473" s="43"/>
      <c r="CK473" s="43"/>
    </row>
    <row r="474" spans="2:89" x14ac:dyDescent="0.25">
      <c r="B474" s="89"/>
      <c r="C474" s="123"/>
      <c r="D474" s="47"/>
      <c r="E474" s="40"/>
      <c r="F474" s="43"/>
      <c r="G474" s="43"/>
      <c r="H474" s="41"/>
      <c r="I474" s="42"/>
      <c r="J474" s="42"/>
      <c r="K474" s="84"/>
      <c r="L474" s="45"/>
      <c r="M474" s="50"/>
      <c r="N474" s="42"/>
      <c r="O474" s="42"/>
      <c r="P474" s="42"/>
      <c r="Q474" s="42"/>
      <c r="R474" s="42"/>
      <c r="S474" s="42"/>
      <c r="T474" s="42"/>
      <c r="U474" s="67"/>
      <c r="V474" s="220"/>
      <c r="W474" s="48"/>
      <c r="X474" s="49"/>
      <c r="Y474" s="43"/>
      <c r="Z474" s="49"/>
      <c r="AA474" s="43"/>
      <c r="AB474" s="43"/>
      <c r="AC474" s="49"/>
      <c r="AE474" s="43"/>
      <c r="AF474" s="69"/>
      <c r="AI474" s="46"/>
      <c r="AJ474" s="138"/>
      <c r="AK474" s="138"/>
      <c r="AL474" s="138"/>
      <c r="AM474" s="42"/>
      <c r="AO474" s="42"/>
      <c r="AQ474" s="43"/>
      <c r="AR474" s="43"/>
      <c r="AS474" s="44"/>
      <c r="AT474" s="44"/>
      <c r="AU474" s="44"/>
      <c r="AW474" s="42"/>
      <c r="AX474" s="42"/>
      <c r="AY474" s="45"/>
      <c r="AZ474" s="47"/>
      <c r="BG474" s="43"/>
      <c r="BI474" s="43"/>
      <c r="BJ474" s="43"/>
      <c r="BK474" s="43"/>
      <c r="BL474" s="43"/>
      <c r="BM474" s="43"/>
      <c r="BO474" s="43"/>
      <c r="BR474" s="43"/>
      <c r="BS474" s="43"/>
      <c r="BW474" s="43"/>
      <c r="CC474" s="43"/>
      <c r="CE474" s="43"/>
      <c r="CF474" s="43"/>
      <c r="CH474" s="43"/>
      <c r="CK474" s="43"/>
    </row>
    <row r="475" spans="2:89" x14ac:dyDescent="0.25">
      <c r="B475" s="89"/>
      <c r="C475" s="123"/>
      <c r="D475" s="47"/>
      <c r="E475" s="40"/>
      <c r="F475" s="43"/>
      <c r="G475" s="43"/>
      <c r="H475" s="41"/>
      <c r="I475" s="182"/>
      <c r="J475" s="200"/>
      <c r="K475" s="84"/>
      <c r="L475" s="45"/>
      <c r="M475" s="43"/>
      <c r="N475" s="42"/>
      <c r="O475" s="42"/>
      <c r="P475" s="229"/>
      <c r="Q475" s="42"/>
      <c r="R475" s="42"/>
      <c r="S475" s="42"/>
      <c r="T475" s="42"/>
      <c r="U475" s="67"/>
      <c r="V475" s="220"/>
      <c r="W475" s="48"/>
      <c r="X475" s="49"/>
      <c r="Y475" s="43"/>
      <c r="Z475" s="49"/>
      <c r="AA475" s="43"/>
      <c r="AB475" s="43"/>
      <c r="AC475" s="49"/>
      <c r="AE475" s="43"/>
      <c r="AF475" s="69"/>
      <c r="AH475" s="150"/>
      <c r="AI475" s="46"/>
      <c r="AJ475" s="138"/>
      <c r="AK475" s="138"/>
      <c r="AL475" s="138"/>
      <c r="AM475" s="42"/>
      <c r="AO475" s="42"/>
      <c r="AQ475" s="43"/>
      <c r="AR475" s="43"/>
      <c r="AS475" s="44"/>
      <c r="AT475" s="152"/>
      <c r="AU475" s="44"/>
      <c r="AW475" s="42"/>
      <c r="AX475" s="42"/>
      <c r="AY475" s="45"/>
      <c r="AZ475" s="47"/>
      <c r="BG475" s="43"/>
      <c r="BI475" s="43"/>
      <c r="BJ475" s="43"/>
      <c r="BK475" s="43"/>
      <c r="BL475" s="43"/>
      <c r="BM475" s="43"/>
      <c r="BO475" s="43"/>
      <c r="BR475" s="43"/>
      <c r="BS475" s="43"/>
      <c r="BW475" s="43"/>
      <c r="CC475" s="43"/>
      <c r="CE475" s="43"/>
      <c r="CF475" s="43"/>
      <c r="CH475" s="43"/>
      <c r="CK475" s="43"/>
    </row>
    <row r="476" spans="2:89" x14ac:dyDescent="0.25">
      <c r="B476" s="89"/>
      <c r="C476" s="123"/>
      <c r="D476" s="47"/>
      <c r="E476" s="40"/>
      <c r="F476" s="43"/>
      <c r="G476" s="43"/>
      <c r="H476" s="41"/>
      <c r="I476" s="42"/>
      <c r="J476" s="245"/>
      <c r="K476" s="84"/>
      <c r="L476" s="45"/>
      <c r="M476" s="50"/>
      <c r="N476" s="42"/>
      <c r="O476" s="42"/>
      <c r="P476" s="200"/>
      <c r="Q476" s="42"/>
      <c r="R476" s="42"/>
      <c r="S476" s="42"/>
      <c r="T476" s="42"/>
      <c r="U476" s="67"/>
      <c r="V476" s="220"/>
      <c r="W476" s="48"/>
      <c r="X476" s="49"/>
      <c r="Y476" s="43"/>
      <c r="Z476" s="49"/>
      <c r="AA476" s="43"/>
      <c r="AB476" s="43"/>
      <c r="AC476" s="49"/>
      <c r="AE476" s="43"/>
      <c r="AF476" s="69"/>
      <c r="AH476" s="150"/>
      <c r="AI476" s="46"/>
      <c r="AJ476" s="138"/>
      <c r="AK476" s="138"/>
      <c r="AL476" s="138"/>
      <c r="AM476" s="42"/>
      <c r="AO476" s="42"/>
      <c r="AQ476" s="43"/>
      <c r="AR476" s="43"/>
      <c r="AS476" s="44"/>
      <c r="AT476" s="152"/>
      <c r="AU476" s="44"/>
      <c r="AW476" s="42"/>
      <c r="AX476" s="42"/>
      <c r="AY476" s="45"/>
      <c r="AZ476" s="47"/>
      <c r="BG476" s="43"/>
      <c r="BI476" s="43"/>
      <c r="BJ476" s="43"/>
      <c r="BK476" s="43"/>
      <c r="BL476" s="43"/>
      <c r="BM476" s="43"/>
      <c r="BO476" s="43"/>
      <c r="BR476" s="43"/>
      <c r="BS476" s="43"/>
      <c r="BW476" s="43"/>
      <c r="CC476" s="43"/>
      <c r="CE476" s="43"/>
      <c r="CF476" s="43"/>
      <c r="CH476" s="43"/>
      <c r="CK476" s="43"/>
    </row>
    <row r="477" spans="2:89" x14ac:dyDescent="0.25">
      <c r="B477" s="157"/>
      <c r="C477" s="123"/>
      <c r="D477" s="143"/>
      <c r="E477" s="40"/>
      <c r="F477" s="43"/>
      <c r="G477" s="43"/>
      <c r="H477" s="176"/>
      <c r="I477" s="42"/>
      <c r="J477" s="42"/>
      <c r="K477" s="177"/>
      <c r="L477" s="45"/>
      <c r="M477" s="50"/>
      <c r="N477" s="42"/>
      <c r="O477" s="42"/>
      <c r="P477" s="42"/>
      <c r="Q477" s="42"/>
      <c r="R477" s="42"/>
      <c r="S477" s="42"/>
      <c r="T477" s="42"/>
      <c r="U477" s="178"/>
      <c r="V477" s="222"/>
      <c r="W477" s="48"/>
      <c r="X477" s="49"/>
      <c r="Y477" s="43"/>
      <c r="Z477" s="49"/>
      <c r="AA477" s="43"/>
      <c r="AB477" s="43"/>
      <c r="AC477" s="49"/>
      <c r="AE477" s="43"/>
      <c r="AF477" s="69"/>
      <c r="AG477" s="69"/>
      <c r="AH477" s="69"/>
      <c r="AI477" s="46"/>
      <c r="AJ477" s="139"/>
      <c r="AK477" s="138"/>
      <c r="AL477" s="175"/>
      <c r="AM477" s="74"/>
      <c r="AN477" s="74"/>
      <c r="AO477" s="74"/>
      <c r="AP477" s="74"/>
      <c r="AQ477" s="81"/>
      <c r="AR477" s="81"/>
      <c r="AS477" s="82"/>
      <c r="AT477" s="82"/>
      <c r="AU477" s="44"/>
      <c r="AV477" s="81"/>
      <c r="AW477" s="74"/>
      <c r="AX477" s="74"/>
      <c r="AY477" s="74"/>
      <c r="AZ477" s="83"/>
      <c r="BG477" s="43"/>
      <c r="BI477" s="43"/>
      <c r="BJ477" s="43"/>
      <c r="BK477" s="43"/>
      <c r="BL477" s="43"/>
      <c r="BM477" s="43"/>
      <c r="BO477" s="43"/>
      <c r="BR477" s="43"/>
      <c r="BS477" s="43"/>
      <c r="BW477" s="43"/>
      <c r="CC477" s="43"/>
      <c r="CE477" s="43"/>
      <c r="CF477" s="43"/>
      <c r="CH477" s="43"/>
      <c r="CK477" s="43"/>
    </row>
    <row r="478" spans="2:89" ht="15.75" customHeight="1" x14ac:dyDescent="0.25">
      <c r="B478" s="89"/>
      <c r="C478" s="123"/>
      <c r="D478" s="47"/>
      <c r="E478" s="40"/>
      <c r="F478" s="43"/>
      <c r="G478" s="43"/>
      <c r="H478" s="41"/>
      <c r="I478" s="42"/>
      <c r="J478" s="42"/>
      <c r="K478" s="84"/>
      <c r="L478" s="45"/>
      <c r="M478" s="43"/>
      <c r="N478" s="42"/>
      <c r="O478" s="42"/>
      <c r="P478" s="229"/>
      <c r="Q478" s="42"/>
      <c r="R478" s="42"/>
      <c r="S478" s="42"/>
      <c r="T478" s="42"/>
      <c r="U478" s="67"/>
      <c r="V478" s="220"/>
      <c r="W478" s="48"/>
      <c r="X478" s="49"/>
      <c r="Y478" s="43"/>
      <c r="Z478" s="49"/>
      <c r="AA478" s="43"/>
      <c r="AB478" s="43"/>
      <c r="AC478" s="49"/>
      <c r="AE478" s="43"/>
      <c r="AF478" s="69"/>
      <c r="AI478" s="46"/>
      <c r="AJ478" s="138"/>
      <c r="AK478" s="138"/>
      <c r="AL478" s="138"/>
      <c r="AM478" s="42"/>
      <c r="AO478" s="42"/>
      <c r="AQ478" s="43"/>
      <c r="AR478" s="43"/>
      <c r="AS478" s="44"/>
      <c r="AT478" s="152"/>
      <c r="AU478" s="44"/>
      <c r="AW478" s="42"/>
      <c r="AX478" s="42"/>
      <c r="AY478" s="45"/>
      <c r="AZ478" s="47"/>
      <c r="BG478" s="43"/>
      <c r="BI478" s="43"/>
      <c r="BJ478" s="43"/>
      <c r="BK478" s="43"/>
      <c r="BL478" s="43"/>
      <c r="BM478" s="43"/>
      <c r="BO478" s="43"/>
      <c r="BR478" s="43"/>
      <c r="BS478" s="43"/>
      <c r="BW478" s="43"/>
      <c r="CC478" s="43"/>
      <c r="CE478" s="43"/>
      <c r="CF478" s="43"/>
      <c r="CH478" s="43"/>
      <c r="CK478" s="43"/>
    </row>
    <row r="479" spans="2:89" ht="15.75" customHeight="1" x14ac:dyDescent="0.25">
      <c r="B479" s="89"/>
      <c r="C479" s="123"/>
      <c r="D479" s="47"/>
      <c r="E479" s="40"/>
      <c r="F479" s="43"/>
      <c r="G479" s="43"/>
      <c r="H479" s="41"/>
      <c r="I479" s="42"/>
      <c r="J479" s="42"/>
      <c r="K479" s="84"/>
      <c r="L479" s="45"/>
      <c r="M479" s="43"/>
      <c r="N479" s="42"/>
      <c r="O479" s="42"/>
      <c r="P479" s="223"/>
      <c r="Q479" s="42"/>
      <c r="R479" s="42"/>
      <c r="S479" s="42"/>
      <c r="T479" s="42"/>
      <c r="U479" s="67"/>
      <c r="V479" s="220"/>
      <c r="W479" s="48"/>
      <c r="X479" s="49"/>
      <c r="Y479" s="43"/>
      <c r="Z479" s="49"/>
      <c r="AA479" s="43"/>
      <c r="AB479" s="43"/>
      <c r="AC479" s="49"/>
      <c r="AE479" s="43"/>
      <c r="AF479" s="69"/>
      <c r="AI479" s="46"/>
      <c r="AJ479" s="138"/>
      <c r="AK479" s="138"/>
      <c r="AL479" s="138"/>
      <c r="AM479" s="42"/>
      <c r="AO479" s="42"/>
      <c r="AQ479" s="43"/>
      <c r="AR479" s="43"/>
      <c r="AS479" s="44"/>
      <c r="AT479" s="44"/>
      <c r="AU479" s="44"/>
      <c r="AW479" s="42"/>
      <c r="AX479" s="42"/>
      <c r="AY479" s="45"/>
      <c r="AZ479" s="47"/>
      <c r="BG479" s="43"/>
      <c r="BI479" s="43"/>
      <c r="BJ479" s="43"/>
      <c r="BK479" s="43"/>
      <c r="BL479" s="43"/>
      <c r="BM479" s="43"/>
      <c r="BO479" s="43"/>
      <c r="BR479" s="43"/>
      <c r="BS479" s="43"/>
      <c r="BW479" s="43"/>
      <c r="CC479" s="43"/>
      <c r="CE479" s="43"/>
      <c r="CF479" s="43"/>
      <c r="CH479" s="43"/>
      <c r="CK479" s="43"/>
    </row>
    <row r="480" spans="2:89" ht="15.75" customHeight="1" x14ac:dyDescent="0.25">
      <c r="B480" s="89"/>
      <c r="C480" s="123"/>
      <c r="D480" s="47"/>
      <c r="E480" s="40"/>
      <c r="F480" s="43"/>
      <c r="G480" s="43"/>
      <c r="H480" s="41"/>
      <c r="I480" s="42"/>
      <c r="J480" s="42"/>
      <c r="K480" s="84"/>
      <c r="L480" s="45"/>
      <c r="M480" s="43"/>
      <c r="N480" s="42"/>
      <c r="O480" s="42"/>
      <c r="P480" s="223"/>
      <c r="Q480" s="42"/>
      <c r="R480" s="42"/>
      <c r="S480" s="42"/>
      <c r="T480" s="42"/>
      <c r="U480" s="67"/>
      <c r="V480" s="220"/>
      <c r="W480" s="48"/>
      <c r="X480" s="49"/>
      <c r="Y480" s="43"/>
      <c r="Z480" s="49"/>
      <c r="AA480" s="43"/>
      <c r="AB480" s="43"/>
      <c r="AC480" s="49"/>
      <c r="AE480" s="43"/>
      <c r="AF480" s="69"/>
      <c r="AI480" s="46"/>
      <c r="AJ480" s="138"/>
      <c r="AK480" s="138"/>
      <c r="AL480" s="138"/>
      <c r="AM480" s="42"/>
      <c r="AO480" s="42"/>
      <c r="AQ480" s="43"/>
      <c r="AR480" s="43"/>
      <c r="AS480" s="44"/>
      <c r="AT480" s="44"/>
      <c r="AU480" s="44"/>
      <c r="AW480" s="42"/>
      <c r="AX480" s="42"/>
      <c r="AY480" s="45"/>
      <c r="AZ480" s="47"/>
      <c r="BG480" s="43"/>
      <c r="BI480" s="43"/>
      <c r="BJ480" s="43"/>
      <c r="BK480" s="43"/>
      <c r="BL480" s="43"/>
      <c r="BM480" s="43"/>
      <c r="BO480" s="43"/>
      <c r="BR480" s="43"/>
      <c r="BS480" s="43"/>
      <c r="BW480" s="43"/>
      <c r="CC480" s="43"/>
      <c r="CE480" s="43"/>
      <c r="CF480" s="43"/>
      <c r="CH480" s="43"/>
      <c r="CK480" s="43"/>
    </row>
    <row r="481" spans="2:89" x14ac:dyDescent="0.25">
      <c r="B481" s="89"/>
      <c r="C481" s="123"/>
      <c r="D481" s="47"/>
      <c r="E481" s="40"/>
      <c r="F481" s="43"/>
      <c r="G481" s="43"/>
      <c r="H481" s="41"/>
      <c r="I481" s="42"/>
      <c r="J481" s="42"/>
      <c r="K481" s="84"/>
      <c r="L481" s="45"/>
      <c r="M481" s="43"/>
      <c r="N481" s="42"/>
      <c r="O481" s="42"/>
      <c r="P481" s="42"/>
      <c r="Q481" s="42"/>
      <c r="R481" s="42"/>
      <c r="S481" s="42"/>
      <c r="T481" s="42"/>
      <c r="U481" s="67"/>
      <c r="V481" s="220"/>
      <c r="W481" s="48"/>
      <c r="X481" s="49"/>
      <c r="Y481" s="43"/>
      <c r="Z481" s="49"/>
      <c r="AA481" s="43"/>
      <c r="AB481" s="43"/>
      <c r="AC481" s="49"/>
      <c r="AE481" s="43"/>
      <c r="AF481" s="69"/>
      <c r="AI481" s="46"/>
      <c r="AJ481" s="138"/>
      <c r="AK481" s="138"/>
      <c r="AL481" s="138"/>
      <c r="AM481" s="42"/>
      <c r="AO481" s="42"/>
      <c r="AQ481" s="43"/>
      <c r="AR481" s="43"/>
      <c r="AS481" s="44"/>
      <c r="AT481" s="44"/>
      <c r="AU481" s="44"/>
      <c r="AW481" s="42"/>
      <c r="AX481" s="42"/>
      <c r="AY481" s="45"/>
      <c r="AZ481" s="47"/>
      <c r="BG481" s="43"/>
      <c r="BI481" s="43"/>
      <c r="BJ481" s="43"/>
      <c r="BK481" s="43"/>
      <c r="BL481" s="43"/>
      <c r="BM481" s="43"/>
      <c r="BO481" s="43"/>
      <c r="BR481" s="43"/>
      <c r="BS481" s="43"/>
      <c r="BW481" s="43"/>
      <c r="CC481" s="43"/>
      <c r="CE481" s="43"/>
      <c r="CF481" s="43"/>
      <c r="CH481" s="43"/>
      <c r="CK481" s="43"/>
    </row>
    <row r="482" spans="2:89" x14ac:dyDescent="0.25">
      <c r="B482" s="89"/>
      <c r="C482" s="123"/>
      <c r="D482" s="47"/>
      <c r="E482" s="40"/>
      <c r="F482" s="43"/>
      <c r="G482" s="43"/>
      <c r="H482" s="41"/>
      <c r="I482" s="42"/>
      <c r="J482" s="42"/>
      <c r="K482" s="84"/>
      <c r="L482" s="45"/>
      <c r="M482" s="50"/>
      <c r="N482" s="42"/>
      <c r="O482" s="42"/>
      <c r="P482" s="42"/>
      <c r="Q482" s="42"/>
      <c r="R482" s="42"/>
      <c r="S482" s="42"/>
      <c r="T482" s="42"/>
      <c r="U482" s="67"/>
      <c r="V482" s="220"/>
      <c r="W482" s="48"/>
      <c r="X482" s="49"/>
      <c r="Y482" s="43"/>
      <c r="Z482" s="45"/>
      <c r="AA482" s="43"/>
      <c r="AB482" s="43"/>
      <c r="AC482" s="49"/>
      <c r="AE482" s="43"/>
      <c r="AF482" s="69"/>
      <c r="AI482" s="46"/>
      <c r="AJ482" s="138"/>
      <c r="AK482" s="138"/>
      <c r="AL482" s="138"/>
      <c r="AM482" s="42"/>
      <c r="AO482" s="42"/>
      <c r="AQ482" s="43"/>
      <c r="AR482" s="43"/>
      <c r="AS482" s="44"/>
      <c r="AT482" s="44"/>
      <c r="AU482" s="44"/>
      <c r="AW482" s="42"/>
      <c r="AX482" s="42"/>
      <c r="AY482" s="45"/>
      <c r="AZ482" s="47"/>
      <c r="BG482" s="43"/>
      <c r="BI482" s="43"/>
      <c r="BJ482" s="43"/>
      <c r="BK482" s="43"/>
      <c r="BL482" s="43"/>
      <c r="BM482" s="43"/>
      <c r="BO482" s="43"/>
      <c r="BR482" s="43"/>
      <c r="BS482" s="43"/>
      <c r="BW482" s="43"/>
      <c r="CC482" s="43"/>
      <c r="CE482" s="43"/>
      <c r="CF482" s="43"/>
      <c r="CH482" s="43"/>
      <c r="CK482" s="43"/>
    </row>
    <row r="483" spans="2:89" x14ac:dyDescent="0.25">
      <c r="B483" s="89"/>
      <c r="C483" s="123"/>
      <c r="D483" s="47"/>
      <c r="E483" s="40"/>
      <c r="F483" s="43"/>
      <c r="G483" s="43"/>
      <c r="H483" s="41"/>
      <c r="I483" s="42"/>
      <c r="J483" s="42"/>
      <c r="K483" s="84"/>
      <c r="L483" s="45"/>
      <c r="M483" s="50"/>
      <c r="N483" s="42"/>
      <c r="O483" s="42"/>
      <c r="P483" s="42"/>
      <c r="Q483" s="42"/>
      <c r="R483" s="42"/>
      <c r="S483" s="42"/>
      <c r="T483" s="42"/>
      <c r="U483" s="67"/>
      <c r="V483" s="220"/>
      <c r="W483" s="48"/>
      <c r="X483" s="49"/>
      <c r="Y483" s="43"/>
      <c r="Z483" s="49"/>
      <c r="AA483" s="43"/>
      <c r="AB483" s="43"/>
      <c r="AC483" s="49"/>
      <c r="AE483" s="43"/>
      <c r="AF483" s="69"/>
      <c r="AI483" s="46"/>
      <c r="AJ483" s="138"/>
      <c r="AK483" s="138"/>
      <c r="AL483" s="138"/>
      <c r="AM483" s="42"/>
      <c r="AO483" s="42"/>
      <c r="AQ483" s="43"/>
      <c r="AR483" s="43"/>
      <c r="AS483" s="44"/>
      <c r="AT483" s="44"/>
      <c r="AU483" s="44"/>
      <c r="AW483" s="42"/>
      <c r="AX483" s="42"/>
      <c r="AY483" s="45"/>
      <c r="AZ483" s="47"/>
      <c r="BG483" s="43"/>
      <c r="BI483" s="43"/>
      <c r="BJ483" s="43"/>
      <c r="BK483" s="43"/>
      <c r="BL483" s="43"/>
      <c r="BM483" s="43"/>
      <c r="BO483" s="43"/>
      <c r="BR483" s="43"/>
      <c r="BS483" s="43"/>
      <c r="BW483" s="43"/>
      <c r="CC483" s="43"/>
      <c r="CE483" s="43"/>
      <c r="CF483" s="43"/>
      <c r="CH483" s="43"/>
      <c r="CK483" s="43"/>
    </row>
    <row r="484" spans="2:89" x14ac:dyDescent="0.25">
      <c r="B484" s="89"/>
      <c r="C484" s="123"/>
      <c r="D484" s="47"/>
      <c r="E484" s="40"/>
      <c r="F484" s="43"/>
      <c r="G484" s="43"/>
      <c r="H484" s="41"/>
      <c r="I484" s="42"/>
      <c r="J484" s="245"/>
      <c r="K484" s="84"/>
      <c r="L484" s="45"/>
      <c r="M484" s="50"/>
      <c r="N484" s="42"/>
      <c r="O484" s="42"/>
      <c r="P484" s="229"/>
      <c r="Q484" s="42"/>
      <c r="R484" s="42"/>
      <c r="S484" s="42"/>
      <c r="T484" s="42"/>
      <c r="U484" s="67"/>
      <c r="V484" s="220"/>
      <c r="W484" s="48"/>
      <c r="X484" s="49"/>
      <c r="Y484" s="43"/>
      <c r="Z484" s="49"/>
      <c r="AA484" s="43"/>
      <c r="AB484" s="43"/>
      <c r="AC484" s="49"/>
      <c r="AE484" s="43"/>
      <c r="AF484" s="69"/>
      <c r="AH484" s="151"/>
      <c r="AI484" s="46"/>
      <c r="AJ484" s="138"/>
      <c r="AK484" s="138"/>
      <c r="AL484" s="138"/>
      <c r="AM484" s="42"/>
      <c r="AO484" s="42"/>
      <c r="AQ484" s="43"/>
      <c r="AR484" s="43"/>
      <c r="AS484" s="44"/>
      <c r="AT484" s="44"/>
      <c r="AU484" s="44"/>
      <c r="AW484" s="42"/>
      <c r="AX484" s="42"/>
      <c r="AY484" s="45"/>
      <c r="AZ484" s="47"/>
      <c r="BG484" s="43"/>
      <c r="BI484" s="43"/>
      <c r="BJ484" s="43"/>
      <c r="BK484" s="43"/>
      <c r="BL484" s="43"/>
      <c r="BM484" s="43"/>
      <c r="BO484" s="43"/>
      <c r="BR484" s="43"/>
      <c r="BS484" s="43"/>
      <c r="BW484" s="43"/>
      <c r="CC484" s="43"/>
      <c r="CE484" s="43"/>
      <c r="CF484" s="43"/>
      <c r="CH484" s="43"/>
      <c r="CK484" s="43"/>
    </row>
    <row r="485" spans="2:89" x14ac:dyDescent="0.25">
      <c r="B485" s="89"/>
      <c r="C485" s="47"/>
      <c r="D485" s="47"/>
      <c r="E485" s="40"/>
      <c r="F485" s="144"/>
      <c r="G485" s="144"/>
      <c r="H485" s="41"/>
      <c r="I485" s="75"/>
      <c r="J485" s="244"/>
      <c r="K485" s="84"/>
      <c r="L485" s="45"/>
      <c r="M485" s="50"/>
      <c r="N485" s="42"/>
      <c r="O485" s="42"/>
      <c r="P485" s="42"/>
      <c r="Q485" s="42"/>
      <c r="R485" s="42"/>
      <c r="S485" s="42"/>
      <c r="T485" s="42"/>
      <c r="U485" s="110"/>
      <c r="V485" s="220"/>
      <c r="W485" s="48"/>
      <c r="X485" s="49"/>
      <c r="Y485" s="43"/>
      <c r="Z485" s="49"/>
      <c r="AA485" s="43"/>
      <c r="AB485" s="43"/>
      <c r="AC485" s="49"/>
      <c r="AE485" s="43"/>
      <c r="AF485" s="69"/>
      <c r="AG485" s="69"/>
      <c r="AH485" s="150"/>
      <c r="AI485" s="46"/>
      <c r="AJ485" s="138"/>
      <c r="AK485" s="138"/>
      <c r="AL485" s="138"/>
      <c r="AM485" s="42"/>
      <c r="AO485" s="42"/>
      <c r="AQ485" s="43"/>
      <c r="AR485" s="43"/>
      <c r="AS485" s="44"/>
      <c r="AT485" s="152"/>
      <c r="AU485" s="44"/>
      <c r="AW485" s="42"/>
      <c r="AX485" s="42"/>
      <c r="AY485" s="45"/>
      <c r="AZ485" s="47"/>
      <c r="BG485" s="43"/>
      <c r="BI485" s="43"/>
      <c r="BJ485" s="43"/>
      <c r="BK485" s="43"/>
      <c r="BL485" s="43"/>
      <c r="BM485" s="43"/>
      <c r="BO485" s="43"/>
      <c r="BR485" s="43"/>
      <c r="BS485" s="43"/>
      <c r="BW485" s="43"/>
      <c r="CC485" s="43"/>
      <c r="CE485" s="43"/>
      <c r="CF485" s="43"/>
      <c r="CH485" s="43"/>
      <c r="CK485" s="43"/>
    </row>
    <row r="486" spans="2:89" x14ac:dyDescent="0.25">
      <c r="B486" s="89"/>
      <c r="C486" s="123"/>
      <c r="D486" s="47"/>
      <c r="E486" s="40"/>
      <c r="F486" s="43"/>
      <c r="G486" s="43"/>
      <c r="H486" s="41"/>
      <c r="I486" s="42"/>
      <c r="J486" s="42"/>
      <c r="K486" s="84"/>
      <c r="L486" s="45"/>
      <c r="M486" s="43"/>
      <c r="N486" s="42"/>
      <c r="O486" s="42"/>
      <c r="P486" s="42"/>
      <c r="Q486" s="42"/>
      <c r="R486" s="42"/>
      <c r="S486" s="42"/>
      <c r="T486" s="42"/>
      <c r="U486" s="67"/>
      <c r="V486" s="220"/>
      <c r="W486" s="48"/>
      <c r="X486" s="49"/>
      <c r="Y486" s="43"/>
      <c r="Z486" s="49"/>
      <c r="AA486" s="43"/>
      <c r="AB486" s="43"/>
      <c r="AC486" s="49"/>
      <c r="AE486" s="43"/>
      <c r="AF486" s="69"/>
      <c r="AI486" s="46"/>
      <c r="AJ486" s="138"/>
      <c r="AK486" s="138"/>
      <c r="AL486" s="138"/>
      <c r="AM486" s="42"/>
      <c r="AO486" s="42"/>
      <c r="AQ486" s="43"/>
      <c r="AR486" s="43"/>
      <c r="AS486" s="44"/>
      <c r="AT486" s="152"/>
      <c r="AU486" s="44"/>
      <c r="AW486" s="42"/>
      <c r="AX486" s="42"/>
      <c r="AY486" s="45"/>
      <c r="AZ486" s="47"/>
      <c r="BG486" s="43"/>
      <c r="BI486" s="43"/>
      <c r="BJ486" s="43"/>
      <c r="BK486" s="43"/>
      <c r="BL486" s="43"/>
      <c r="BM486" s="43"/>
      <c r="BO486" s="43"/>
      <c r="BR486" s="43"/>
      <c r="BS486" s="43"/>
      <c r="BW486" s="43"/>
      <c r="CC486" s="43"/>
      <c r="CE486" s="43"/>
      <c r="CF486" s="43"/>
      <c r="CH486" s="43"/>
      <c r="CK486" s="43"/>
    </row>
    <row r="487" spans="2:89" x14ac:dyDescent="0.25">
      <c r="B487" s="89"/>
      <c r="C487" s="123"/>
      <c r="D487" s="47"/>
      <c r="E487" s="40"/>
      <c r="F487" s="43"/>
      <c r="G487" s="43"/>
      <c r="H487" s="41"/>
      <c r="I487" s="42"/>
      <c r="J487" s="42"/>
      <c r="K487" s="84"/>
      <c r="L487" s="45"/>
      <c r="M487" s="43"/>
      <c r="N487" s="42"/>
      <c r="O487" s="42"/>
      <c r="P487" s="229"/>
      <c r="Q487" s="42"/>
      <c r="R487" s="42"/>
      <c r="S487" s="42"/>
      <c r="T487" s="42"/>
      <c r="U487" s="67"/>
      <c r="V487" s="220"/>
      <c r="W487" s="48"/>
      <c r="X487" s="49"/>
      <c r="Y487" s="43"/>
      <c r="Z487" s="49"/>
      <c r="AA487" s="43"/>
      <c r="AB487" s="43"/>
      <c r="AC487" s="49"/>
      <c r="AE487" s="43"/>
      <c r="AF487" s="69"/>
      <c r="AI487" s="46"/>
      <c r="AJ487" s="138"/>
      <c r="AK487" s="138"/>
      <c r="AL487" s="138"/>
      <c r="AM487" s="42"/>
      <c r="AO487" s="42"/>
      <c r="AQ487" s="43"/>
      <c r="AR487" s="43"/>
      <c r="AS487" s="44"/>
      <c r="AT487" s="44"/>
      <c r="AU487" s="44"/>
      <c r="AW487" s="42"/>
      <c r="AX487" s="42"/>
      <c r="AY487" s="45"/>
      <c r="AZ487" s="47"/>
      <c r="BG487" s="43"/>
      <c r="BI487" s="43"/>
      <c r="BJ487" s="43"/>
      <c r="BK487" s="43"/>
      <c r="BL487" s="43"/>
      <c r="BM487" s="43"/>
      <c r="BO487" s="43"/>
      <c r="BR487" s="43"/>
      <c r="BS487" s="43"/>
      <c r="BW487" s="43"/>
      <c r="CC487" s="43"/>
      <c r="CE487" s="43"/>
      <c r="CF487" s="43"/>
      <c r="CH487" s="43"/>
      <c r="CK487" s="43"/>
    </row>
    <row r="488" spans="2:89" x14ac:dyDescent="0.25">
      <c r="B488" s="157"/>
      <c r="C488" s="123"/>
      <c r="D488" s="143"/>
      <c r="E488" s="40"/>
      <c r="F488" s="43"/>
      <c r="G488" s="43"/>
      <c r="H488" s="41"/>
      <c r="I488" s="42"/>
      <c r="J488" s="42"/>
      <c r="K488" s="84"/>
      <c r="L488" s="45"/>
      <c r="M488" s="45"/>
      <c r="N488" s="42"/>
      <c r="O488" s="42"/>
      <c r="P488" s="42"/>
      <c r="Q488" s="42"/>
      <c r="R488" s="42"/>
      <c r="S488" s="42"/>
      <c r="T488" s="42"/>
      <c r="U488" s="171"/>
      <c r="V488" s="221"/>
      <c r="W488" s="48"/>
      <c r="X488" s="49"/>
      <c r="Y488" s="43"/>
      <c r="Z488" s="49"/>
      <c r="AA488" s="43"/>
      <c r="AB488" s="43"/>
      <c r="AC488" s="49"/>
      <c r="AE488" s="43"/>
      <c r="AF488" s="69"/>
      <c r="AG488" s="69"/>
      <c r="AH488" s="69"/>
      <c r="AI488" s="46"/>
      <c r="AJ488" s="138"/>
      <c r="AK488" s="138"/>
      <c r="AL488" s="170"/>
      <c r="AM488" s="74"/>
      <c r="AN488" s="74"/>
      <c r="AO488" s="74"/>
      <c r="AP488" s="74"/>
      <c r="AQ488" s="81"/>
      <c r="AR488" s="81"/>
      <c r="AS488" s="82"/>
      <c r="AT488" s="82"/>
      <c r="AU488" s="44"/>
      <c r="AV488" s="81"/>
      <c r="AW488" s="74"/>
      <c r="AX488" s="74"/>
      <c r="AY488" s="74"/>
      <c r="AZ488" s="83"/>
      <c r="BG488" s="43"/>
      <c r="BI488" s="43"/>
      <c r="BJ488" s="43"/>
      <c r="BK488" s="43"/>
      <c r="BL488" s="43"/>
      <c r="BM488" s="43"/>
      <c r="BO488" s="43"/>
      <c r="BR488" s="43"/>
      <c r="BS488" s="43"/>
      <c r="BW488" s="43"/>
      <c r="CC488" s="43"/>
      <c r="CE488" s="43"/>
      <c r="CF488" s="43"/>
      <c r="CH488" s="43"/>
      <c r="CK488" s="43"/>
    </row>
    <row r="489" spans="2:89" x14ac:dyDescent="0.25">
      <c r="B489" s="89"/>
      <c r="C489" s="123"/>
      <c r="D489" s="47"/>
      <c r="E489" s="40"/>
      <c r="F489" s="43"/>
      <c r="G489" s="43"/>
      <c r="H489" s="41"/>
      <c r="I489" s="42"/>
      <c r="J489" s="42"/>
      <c r="K489" s="84"/>
      <c r="L489" s="45"/>
      <c r="M489" s="43"/>
      <c r="N489" s="42"/>
      <c r="O489" s="42"/>
      <c r="P489" s="42"/>
      <c r="Q489" s="42"/>
      <c r="R489" s="42"/>
      <c r="S489" s="42"/>
      <c r="T489" s="42"/>
      <c r="U489" s="67"/>
      <c r="V489" s="220"/>
      <c r="W489" s="48"/>
      <c r="X489" s="49"/>
      <c r="Y489" s="43"/>
      <c r="Z489" s="49"/>
      <c r="AA489" s="43"/>
      <c r="AB489" s="43"/>
      <c r="AC489" s="49"/>
      <c r="AE489" s="43"/>
      <c r="AF489" s="69"/>
      <c r="AI489" s="46"/>
      <c r="AJ489" s="138"/>
      <c r="AK489" s="138"/>
      <c r="AL489" s="138"/>
      <c r="AM489" s="42"/>
      <c r="AO489" s="42"/>
      <c r="AQ489" s="43"/>
      <c r="AR489" s="43"/>
      <c r="AS489" s="44"/>
      <c r="AT489" s="44"/>
      <c r="AU489" s="44"/>
      <c r="AW489" s="42"/>
      <c r="AX489" s="42"/>
      <c r="AY489" s="45"/>
      <c r="AZ489" s="47"/>
      <c r="BG489" s="43"/>
      <c r="BI489" s="43"/>
      <c r="BJ489" s="43"/>
      <c r="BK489" s="43"/>
      <c r="BL489" s="43"/>
      <c r="BM489" s="43"/>
      <c r="BO489" s="43"/>
      <c r="BR489" s="43"/>
      <c r="BS489" s="43"/>
      <c r="BW489" s="43"/>
      <c r="CC489" s="43"/>
      <c r="CE489" s="43"/>
      <c r="CF489" s="43"/>
      <c r="CH489" s="43"/>
      <c r="CK489" s="43"/>
    </row>
    <row r="490" spans="2:89" ht="15.75" customHeight="1" x14ac:dyDescent="0.25">
      <c r="B490" s="89"/>
      <c r="C490" s="123"/>
      <c r="D490" s="47"/>
      <c r="E490" s="40"/>
      <c r="F490" s="43"/>
      <c r="G490" s="43"/>
      <c r="H490" s="41"/>
      <c r="I490" s="42"/>
      <c r="J490" s="42"/>
      <c r="K490" s="84"/>
      <c r="L490" s="45"/>
      <c r="M490" s="43"/>
      <c r="N490" s="42"/>
      <c r="O490" s="42"/>
      <c r="P490" s="229"/>
      <c r="Q490" s="42"/>
      <c r="R490" s="42"/>
      <c r="S490" s="42"/>
      <c r="T490" s="42"/>
      <c r="U490" s="67"/>
      <c r="V490" s="220"/>
      <c r="W490" s="48"/>
      <c r="X490" s="49"/>
      <c r="Y490" s="43"/>
      <c r="Z490" s="49"/>
      <c r="AA490" s="43"/>
      <c r="AB490" s="43"/>
      <c r="AC490" s="49"/>
      <c r="AE490" s="43"/>
      <c r="AF490" s="69"/>
      <c r="AI490" s="46"/>
      <c r="AJ490" s="138"/>
      <c r="AK490" s="138"/>
      <c r="AL490" s="138"/>
      <c r="AM490" s="42"/>
      <c r="AO490" s="42"/>
      <c r="AQ490" s="43"/>
      <c r="AR490" s="43"/>
      <c r="AS490" s="44"/>
      <c r="AT490" s="44"/>
      <c r="AU490" s="44"/>
      <c r="AW490" s="42"/>
      <c r="AX490" s="42"/>
      <c r="AY490" s="45"/>
      <c r="AZ490" s="47"/>
      <c r="BG490" s="43"/>
      <c r="BI490" s="43"/>
      <c r="BJ490" s="43"/>
      <c r="BK490" s="43"/>
      <c r="BL490" s="43"/>
      <c r="BM490" s="43"/>
      <c r="BO490" s="43"/>
      <c r="BR490" s="43"/>
      <c r="BS490" s="43"/>
      <c r="BW490" s="43"/>
      <c r="CC490" s="43"/>
      <c r="CE490" s="43"/>
      <c r="CF490" s="43"/>
      <c r="CH490" s="43"/>
      <c r="CK490" s="43"/>
    </row>
    <row r="491" spans="2:89" x14ac:dyDescent="0.25">
      <c r="B491" s="89"/>
      <c r="C491" s="123"/>
      <c r="D491" s="47"/>
      <c r="E491" s="40"/>
      <c r="F491" s="43"/>
      <c r="G491" s="43"/>
      <c r="H491" s="41"/>
      <c r="I491" s="42"/>
      <c r="J491" s="42"/>
      <c r="K491" s="84"/>
      <c r="L491" s="45"/>
      <c r="M491" s="50"/>
      <c r="N491" s="42"/>
      <c r="O491" s="42"/>
      <c r="P491" s="229"/>
      <c r="Q491" s="42"/>
      <c r="R491" s="42"/>
      <c r="S491" s="42"/>
      <c r="T491" s="42"/>
      <c r="U491" s="67"/>
      <c r="V491" s="220"/>
      <c r="W491" s="48"/>
      <c r="X491" s="49"/>
      <c r="Y491" s="43"/>
      <c r="Z491" s="48"/>
      <c r="AA491" s="43"/>
      <c r="AB491" s="43"/>
      <c r="AC491" s="49"/>
      <c r="AE491" s="43"/>
      <c r="AF491" s="69"/>
      <c r="AI491" s="46"/>
      <c r="AJ491" s="138"/>
      <c r="AK491" s="138"/>
      <c r="AL491" s="138"/>
      <c r="AM491" s="42"/>
      <c r="AO491" s="42"/>
      <c r="AQ491" s="43"/>
      <c r="AR491" s="43"/>
      <c r="AS491" s="44"/>
      <c r="AT491" s="44"/>
      <c r="AU491" s="44"/>
      <c r="AW491" s="42"/>
      <c r="AX491" s="42"/>
      <c r="AY491" s="45"/>
      <c r="AZ491" s="47"/>
      <c r="BG491" s="43"/>
      <c r="BI491" s="43"/>
      <c r="BJ491" s="43"/>
      <c r="BK491" s="43"/>
      <c r="BL491" s="43"/>
      <c r="BM491" s="43"/>
      <c r="BO491" s="43"/>
      <c r="BR491" s="43"/>
      <c r="BS491" s="43"/>
      <c r="BW491" s="43"/>
      <c r="CC491" s="43"/>
      <c r="CE491" s="43"/>
      <c r="CF491" s="43"/>
      <c r="CH491" s="43"/>
      <c r="CK491" s="43"/>
    </row>
    <row r="492" spans="2:89" x14ac:dyDescent="0.25">
      <c r="B492" s="89"/>
      <c r="C492" s="123"/>
      <c r="D492" s="47"/>
      <c r="E492" s="40"/>
      <c r="F492" s="43"/>
      <c r="G492" s="43"/>
      <c r="H492" s="41"/>
      <c r="I492" s="42"/>
      <c r="J492" s="42"/>
      <c r="K492" s="84"/>
      <c r="L492" s="45"/>
      <c r="M492" s="50"/>
      <c r="N492" s="42"/>
      <c r="O492" s="42"/>
      <c r="P492" s="42"/>
      <c r="Q492" s="42"/>
      <c r="R492" s="42"/>
      <c r="S492" s="42"/>
      <c r="T492" s="42"/>
      <c r="U492" s="67"/>
      <c r="V492" s="234"/>
      <c r="W492" s="48"/>
      <c r="X492" s="49"/>
      <c r="Y492" s="43"/>
      <c r="Z492" s="48"/>
      <c r="AA492" s="43"/>
      <c r="AB492" s="43"/>
      <c r="AC492" s="49"/>
      <c r="AE492" s="43"/>
      <c r="AF492" s="69"/>
      <c r="AI492" s="46"/>
      <c r="AJ492" s="138"/>
      <c r="AK492" s="138"/>
      <c r="AL492" s="138"/>
      <c r="AM492" s="42"/>
      <c r="AO492" s="42"/>
      <c r="AQ492" s="43"/>
      <c r="AR492" s="43"/>
      <c r="AS492" s="44"/>
      <c r="AT492" s="44"/>
      <c r="AU492" s="44"/>
      <c r="AW492" s="42"/>
      <c r="AX492" s="42"/>
      <c r="AY492" s="45"/>
      <c r="AZ492" s="47"/>
      <c r="BG492" s="43"/>
      <c r="BI492" s="43"/>
      <c r="BJ492" s="43"/>
      <c r="BK492" s="43"/>
      <c r="BL492" s="43"/>
      <c r="BM492" s="43"/>
      <c r="BO492" s="43"/>
      <c r="BR492" s="43"/>
      <c r="BS492" s="43"/>
      <c r="BW492" s="43"/>
      <c r="CC492" s="43"/>
      <c r="CE492" s="43"/>
      <c r="CF492" s="43"/>
      <c r="CH492" s="43"/>
      <c r="CK492" s="43"/>
    </row>
    <row r="493" spans="2:89" x14ac:dyDescent="0.25">
      <c r="B493" s="89"/>
      <c r="C493" s="123"/>
      <c r="D493" s="47"/>
      <c r="E493" s="40"/>
      <c r="F493" s="43"/>
      <c r="G493" s="43"/>
      <c r="H493" s="41"/>
      <c r="I493" s="42"/>
      <c r="J493" s="42"/>
      <c r="K493" s="84"/>
      <c r="L493" s="45"/>
      <c r="M493" s="50"/>
      <c r="N493" s="42"/>
      <c r="O493" s="42"/>
      <c r="P493" s="42"/>
      <c r="Q493" s="42"/>
      <c r="R493" s="42"/>
      <c r="S493" s="42"/>
      <c r="T493" s="42"/>
      <c r="U493" s="67"/>
      <c r="V493" s="220"/>
      <c r="W493" s="48"/>
      <c r="X493" s="49"/>
      <c r="Y493" s="43"/>
      <c r="Z493" s="48"/>
      <c r="AA493" s="43"/>
      <c r="AB493" s="43"/>
      <c r="AC493" s="49"/>
      <c r="AE493" s="43"/>
      <c r="AF493" s="69"/>
      <c r="AI493" s="46"/>
      <c r="AJ493" s="138"/>
      <c r="AK493" s="138"/>
      <c r="AL493" s="138"/>
      <c r="AM493" s="42"/>
      <c r="AO493" s="42"/>
      <c r="AQ493" s="43"/>
      <c r="AR493" s="43"/>
      <c r="AS493" s="44"/>
      <c r="AT493" s="44"/>
      <c r="AU493" s="44"/>
      <c r="AW493" s="42"/>
      <c r="AX493" s="42"/>
      <c r="AY493" s="45"/>
      <c r="AZ493" s="47"/>
      <c r="BG493" s="43"/>
      <c r="BI493" s="43"/>
      <c r="BJ493" s="43"/>
      <c r="BK493" s="43"/>
      <c r="BL493" s="43"/>
      <c r="BM493" s="43"/>
      <c r="BO493" s="43"/>
      <c r="BR493" s="43"/>
      <c r="BS493" s="43"/>
      <c r="BW493" s="43"/>
      <c r="CC493" s="43"/>
      <c r="CE493" s="43"/>
      <c r="CF493" s="43"/>
      <c r="CH493" s="43"/>
      <c r="CK493" s="43"/>
    </row>
    <row r="494" spans="2:89" x14ac:dyDescent="0.25">
      <c r="B494" s="89"/>
      <c r="C494" s="123"/>
      <c r="D494" s="47"/>
      <c r="E494" s="40"/>
      <c r="F494" s="43"/>
      <c r="G494" s="43"/>
      <c r="H494" s="41"/>
      <c r="I494" s="42"/>
      <c r="J494" s="42"/>
      <c r="K494" s="84"/>
      <c r="L494" s="45"/>
      <c r="M494" s="50"/>
      <c r="N494" s="42"/>
      <c r="O494" s="42"/>
      <c r="P494" s="229"/>
      <c r="Q494" s="42"/>
      <c r="R494" s="42"/>
      <c r="S494" s="42"/>
      <c r="T494" s="42"/>
      <c r="U494" s="67"/>
      <c r="V494" s="220"/>
      <c r="W494" s="48"/>
      <c r="X494" s="49"/>
      <c r="Y494" s="43"/>
      <c r="Z494" s="48"/>
      <c r="AA494" s="43"/>
      <c r="AB494" s="43"/>
      <c r="AC494" s="49"/>
      <c r="AE494" s="43"/>
      <c r="AF494" s="69"/>
      <c r="AI494" s="46"/>
      <c r="AJ494" s="138"/>
      <c r="AK494" s="138"/>
      <c r="AL494" s="138"/>
      <c r="AM494" s="42"/>
      <c r="AO494" s="42"/>
      <c r="AQ494" s="43"/>
      <c r="AR494" s="43"/>
      <c r="AS494" s="44"/>
      <c r="AT494" s="44"/>
      <c r="AU494" s="44"/>
      <c r="AW494" s="42"/>
      <c r="AX494" s="42"/>
      <c r="AY494" s="45"/>
      <c r="AZ494" s="47"/>
      <c r="BG494" s="43"/>
      <c r="BI494" s="43"/>
      <c r="BJ494" s="43"/>
      <c r="BK494" s="43"/>
      <c r="BL494" s="43"/>
      <c r="BM494" s="43"/>
      <c r="BO494" s="43"/>
      <c r="BR494" s="43"/>
      <c r="BS494" s="43"/>
      <c r="BW494" s="43"/>
      <c r="CC494" s="43"/>
      <c r="CE494" s="43"/>
      <c r="CF494" s="43"/>
      <c r="CH494" s="43"/>
      <c r="CK494" s="43"/>
    </row>
    <row r="495" spans="2:89" x14ac:dyDescent="0.25">
      <c r="B495" s="89"/>
      <c r="C495" s="123"/>
      <c r="D495" s="47"/>
      <c r="E495" s="40"/>
      <c r="F495" s="43"/>
      <c r="G495" s="43"/>
      <c r="H495" s="41"/>
      <c r="I495" s="42"/>
      <c r="J495" s="42"/>
      <c r="K495" s="84"/>
      <c r="L495" s="45"/>
      <c r="M495" s="50"/>
      <c r="N495" s="42"/>
      <c r="O495" s="42"/>
      <c r="P495" s="42"/>
      <c r="Q495" s="42"/>
      <c r="R495" s="42"/>
      <c r="S495" s="42"/>
      <c r="T495" s="42"/>
      <c r="U495" s="67"/>
      <c r="V495" s="220"/>
      <c r="W495" s="48"/>
      <c r="X495" s="49"/>
      <c r="Y495" s="43"/>
      <c r="Z495" s="48"/>
      <c r="AA495" s="43"/>
      <c r="AB495" s="43"/>
      <c r="AC495" s="49"/>
      <c r="AE495" s="43"/>
      <c r="AF495" s="69"/>
      <c r="AI495" s="46"/>
      <c r="AJ495" s="138"/>
      <c r="AK495" s="138"/>
      <c r="AL495" s="138"/>
      <c r="AM495" s="42"/>
      <c r="AO495" s="42"/>
      <c r="AQ495" s="43"/>
      <c r="AR495" s="43"/>
      <c r="AS495" s="44"/>
      <c r="AT495" s="44"/>
      <c r="AU495" s="44"/>
      <c r="AW495" s="42"/>
      <c r="AX495" s="42"/>
      <c r="AY495" s="45"/>
      <c r="AZ495" s="47"/>
      <c r="BG495" s="43"/>
      <c r="BI495" s="43"/>
      <c r="BJ495" s="43"/>
      <c r="BK495" s="43"/>
      <c r="BL495" s="43"/>
      <c r="BM495" s="43"/>
      <c r="BO495" s="43"/>
      <c r="BR495" s="43"/>
      <c r="BS495" s="43"/>
      <c r="BW495" s="43"/>
      <c r="CC495" s="43"/>
      <c r="CE495" s="43"/>
      <c r="CF495" s="43"/>
      <c r="CH495" s="43"/>
      <c r="CK495" s="43"/>
    </row>
    <row r="496" spans="2:89" x14ac:dyDescent="0.25">
      <c r="B496" s="89"/>
      <c r="C496" s="123"/>
      <c r="D496" s="47"/>
      <c r="E496" s="40"/>
      <c r="F496" s="43"/>
      <c r="G496" s="43"/>
      <c r="H496" s="41"/>
      <c r="I496" s="205"/>
      <c r="J496" s="200"/>
      <c r="K496" s="84"/>
      <c r="L496" s="45"/>
      <c r="M496" s="43"/>
      <c r="N496" s="42"/>
      <c r="O496" s="42"/>
      <c r="P496" s="229"/>
      <c r="Q496" s="42"/>
      <c r="R496" s="42"/>
      <c r="S496" s="42"/>
      <c r="T496" s="42"/>
      <c r="U496" s="67"/>
      <c r="V496" s="220"/>
      <c r="W496" s="48"/>
      <c r="X496" s="49"/>
      <c r="Y496" s="43"/>
      <c r="Z496" s="49"/>
      <c r="AA496" s="43"/>
      <c r="AB496" s="43"/>
      <c r="AC496" s="49"/>
      <c r="AE496" s="43"/>
      <c r="AF496" s="69"/>
      <c r="AH496" s="150"/>
      <c r="AI496" s="46"/>
      <c r="AJ496" s="138"/>
      <c r="AK496" s="138"/>
      <c r="AL496" s="138"/>
      <c r="AM496" s="42"/>
      <c r="AO496" s="42"/>
      <c r="AQ496" s="43"/>
      <c r="AR496" s="43"/>
      <c r="AS496" s="44"/>
      <c r="AT496" s="152"/>
      <c r="AU496" s="44"/>
      <c r="AW496" s="42"/>
      <c r="AX496" s="42"/>
      <c r="AY496" s="45"/>
      <c r="AZ496" s="47"/>
      <c r="BG496" s="43"/>
      <c r="BI496" s="43"/>
      <c r="BJ496" s="43"/>
      <c r="BK496" s="43"/>
      <c r="BL496" s="43"/>
      <c r="BM496" s="43"/>
      <c r="BO496" s="43"/>
      <c r="BR496" s="43"/>
      <c r="BS496" s="43"/>
      <c r="BW496" s="43"/>
      <c r="CC496" s="43"/>
      <c r="CE496" s="43"/>
      <c r="CF496" s="43"/>
      <c r="CH496" s="43"/>
      <c r="CK496" s="43"/>
    </row>
    <row r="497" spans="2:89" x14ac:dyDescent="0.25">
      <c r="B497" s="157"/>
      <c r="C497" s="123"/>
      <c r="D497" s="143"/>
      <c r="E497" s="40"/>
      <c r="F497" s="43"/>
      <c r="G497" s="43"/>
      <c r="H497" s="176"/>
      <c r="I497" s="42"/>
      <c r="J497" s="42"/>
      <c r="K497" s="177"/>
      <c r="L497" s="45"/>
      <c r="M497" s="50"/>
      <c r="N497" s="42"/>
      <c r="O497" s="42"/>
      <c r="P497" s="42"/>
      <c r="Q497" s="42"/>
      <c r="R497" s="42"/>
      <c r="S497" s="42"/>
      <c r="T497" s="42"/>
      <c r="U497" s="178"/>
      <c r="V497" s="220"/>
      <c r="W497" s="48"/>
      <c r="X497" s="49"/>
      <c r="Y497" s="43"/>
      <c r="Z497" s="49"/>
      <c r="AA497" s="43"/>
      <c r="AB497" s="43"/>
      <c r="AC497" s="49"/>
      <c r="AE497" s="43"/>
      <c r="AF497" s="69"/>
      <c r="AG497" s="69"/>
      <c r="AI497" s="46"/>
      <c r="AJ497" s="139"/>
      <c r="AK497" s="138"/>
      <c r="AL497" s="175"/>
      <c r="AM497" s="74"/>
      <c r="AN497" s="74"/>
      <c r="AO497" s="74"/>
      <c r="AP497" s="74"/>
      <c r="AQ497" s="81"/>
      <c r="AR497" s="81"/>
      <c r="AS497" s="44"/>
      <c r="AT497" s="82"/>
      <c r="AU497" s="44"/>
      <c r="AV497" s="81"/>
      <c r="AW497" s="74"/>
      <c r="AX497" s="74"/>
      <c r="AY497" s="74"/>
      <c r="AZ497" s="83"/>
      <c r="BG497" s="43"/>
      <c r="BI497" s="43"/>
      <c r="BJ497" s="43"/>
      <c r="BK497" s="43"/>
      <c r="BL497" s="43"/>
      <c r="BM497" s="43"/>
      <c r="BO497" s="43"/>
      <c r="BR497" s="43"/>
      <c r="BS497" s="43"/>
      <c r="BW497" s="43"/>
      <c r="CC497" s="43"/>
      <c r="CE497" s="43"/>
      <c r="CF497" s="43"/>
      <c r="CH497" s="43"/>
      <c r="CK497" s="43"/>
    </row>
    <row r="498" spans="2:89" x14ac:dyDescent="0.25">
      <c r="B498" s="89"/>
      <c r="C498" s="123"/>
      <c r="D498" s="47"/>
      <c r="E498" s="40"/>
      <c r="F498" s="43"/>
      <c r="G498" s="43"/>
      <c r="H498" s="41"/>
      <c r="I498" s="42"/>
      <c r="J498" s="42"/>
      <c r="K498" s="84"/>
      <c r="L498" s="45"/>
      <c r="M498" s="50"/>
      <c r="N498" s="42"/>
      <c r="O498" s="42"/>
      <c r="P498" s="42"/>
      <c r="Q498" s="42"/>
      <c r="R498" s="42"/>
      <c r="S498" s="42"/>
      <c r="T498" s="42"/>
      <c r="U498" s="67"/>
      <c r="V498" s="220"/>
      <c r="W498" s="48"/>
      <c r="X498" s="49"/>
      <c r="Y498" s="43"/>
      <c r="Z498" s="49"/>
      <c r="AA498" s="43"/>
      <c r="AB498" s="43"/>
      <c r="AC498" s="49"/>
      <c r="AE498" s="43"/>
      <c r="AF498" s="69"/>
      <c r="AI498" s="46"/>
      <c r="AJ498" s="138"/>
      <c r="AK498" s="138"/>
      <c r="AL498" s="138"/>
      <c r="AM498" s="42"/>
      <c r="AO498" s="42"/>
      <c r="AQ498" s="43"/>
      <c r="AR498" s="43"/>
      <c r="AS498" s="44"/>
      <c r="AT498" s="44"/>
      <c r="AU498" s="44"/>
      <c r="AW498" s="42"/>
      <c r="AX498" s="42"/>
      <c r="AY498" s="45"/>
      <c r="AZ498" s="47"/>
      <c r="BG498" s="43"/>
      <c r="BI498" s="43"/>
      <c r="BJ498" s="43"/>
      <c r="BK498" s="43"/>
      <c r="BL498" s="43"/>
      <c r="BM498" s="43"/>
      <c r="BO498" s="43"/>
      <c r="BR498" s="43"/>
      <c r="BS498" s="43"/>
      <c r="BW498" s="43"/>
      <c r="CC498" s="43"/>
      <c r="CE498" s="43"/>
      <c r="CF498" s="43"/>
      <c r="CH498" s="43"/>
      <c r="CK498" s="43"/>
    </row>
    <row r="499" spans="2:89" x14ac:dyDescent="0.25">
      <c r="B499" s="89"/>
      <c r="C499" s="123"/>
      <c r="D499" s="47"/>
      <c r="E499" s="40"/>
      <c r="F499" s="43"/>
      <c r="G499" s="43"/>
      <c r="H499" s="41"/>
      <c r="I499" s="42"/>
      <c r="J499" s="42"/>
      <c r="K499" s="84"/>
      <c r="L499" s="45"/>
      <c r="M499" s="50"/>
      <c r="N499" s="42"/>
      <c r="O499" s="42"/>
      <c r="P499" s="229"/>
      <c r="Q499" s="42"/>
      <c r="R499" s="42"/>
      <c r="S499" s="42"/>
      <c r="T499" s="42"/>
      <c r="U499" s="67"/>
      <c r="V499" s="220"/>
      <c r="W499" s="48"/>
      <c r="X499" s="49"/>
      <c r="Y499" s="43"/>
      <c r="Z499" s="49"/>
      <c r="AA499" s="43"/>
      <c r="AB499" s="43"/>
      <c r="AC499" s="49"/>
      <c r="AE499" s="43"/>
      <c r="AF499" s="69"/>
      <c r="AI499" s="46"/>
      <c r="AJ499" s="138"/>
      <c r="AK499" s="138"/>
      <c r="AL499" s="138"/>
      <c r="AM499" s="42"/>
      <c r="AO499" s="42"/>
      <c r="AQ499" s="43"/>
      <c r="AR499" s="43"/>
      <c r="AS499" s="44"/>
      <c r="AT499" s="44"/>
      <c r="AU499" s="44"/>
      <c r="AW499" s="42"/>
      <c r="AX499" s="42"/>
      <c r="AY499" s="45"/>
      <c r="AZ499" s="47"/>
      <c r="BG499" s="43"/>
      <c r="BI499" s="43"/>
      <c r="BJ499" s="43"/>
      <c r="BK499" s="43"/>
      <c r="BL499" s="43"/>
      <c r="BM499" s="43"/>
      <c r="BO499" s="43"/>
      <c r="BR499" s="43"/>
      <c r="BS499" s="43"/>
      <c r="BW499" s="43"/>
      <c r="CC499" s="43"/>
      <c r="CE499" s="43"/>
      <c r="CF499" s="43"/>
      <c r="CH499" s="43"/>
      <c r="CK499" s="43"/>
    </row>
    <row r="500" spans="2:89" x14ac:dyDescent="0.25">
      <c r="B500" s="89"/>
      <c r="C500" s="123"/>
      <c r="D500" s="47"/>
      <c r="E500" s="40"/>
      <c r="F500" s="43"/>
      <c r="G500" s="43"/>
      <c r="H500" s="41"/>
      <c r="I500" s="205"/>
      <c r="J500" s="200"/>
      <c r="K500" s="84"/>
      <c r="L500" s="45"/>
      <c r="M500" s="43"/>
      <c r="N500" s="42"/>
      <c r="O500" s="42"/>
      <c r="P500" s="223"/>
      <c r="Q500" s="42"/>
      <c r="R500" s="42"/>
      <c r="S500" s="42"/>
      <c r="T500" s="42"/>
      <c r="U500" s="67"/>
      <c r="V500" s="220"/>
      <c r="W500" s="48"/>
      <c r="X500" s="49"/>
      <c r="Y500" s="43"/>
      <c r="Z500" s="49"/>
      <c r="AA500" s="43"/>
      <c r="AB500" s="43"/>
      <c r="AC500" s="49"/>
      <c r="AE500" s="43"/>
      <c r="AF500" s="69"/>
      <c r="AH500" s="150"/>
      <c r="AI500" s="46"/>
      <c r="AJ500" s="138"/>
      <c r="AK500" s="138"/>
      <c r="AL500" s="138"/>
      <c r="AM500" s="42"/>
      <c r="AO500" s="42"/>
      <c r="AQ500" s="43"/>
      <c r="AR500" s="43"/>
      <c r="AS500" s="44"/>
      <c r="AT500" s="152"/>
      <c r="AU500" s="44"/>
      <c r="AW500" s="42"/>
      <c r="AX500" s="42"/>
      <c r="AY500" s="45"/>
      <c r="AZ500" s="47"/>
      <c r="BG500" s="43"/>
      <c r="BI500" s="43"/>
      <c r="BJ500" s="43"/>
      <c r="BK500" s="43"/>
      <c r="BL500" s="43"/>
      <c r="BM500" s="43"/>
      <c r="BO500" s="43"/>
      <c r="BR500" s="43"/>
      <c r="BS500" s="43"/>
      <c r="BW500" s="43"/>
      <c r="CC500" s="43"/>
      <c r="CE500" s="43"/>
      <c r="CF500" s="43"/>
      <c r="CH500" s="43"/>
      <c r="CK500" s="43"/>
    </row>
    <row r="501" spans="2:89" x14ac:dyDescent="0.25">
      <c r="B501" s="89"/>
      <c r="C501" s="123"/>
      <c r="D501" s="47"/>
      <c r="E501" s="40"/>
      <c r="F501" s="43"/>
      <c r="G501" s="43"/>
      <c r="H501" s="41"/>
      <c r="I501" s="182"/>
      <c r="J501" s="200"/>
      <c r="K501" s="84"/>
      <c r="L501" s="45"/>
      <c r="M501" s="43"/>
      <c r="N501" s="42"/>
      <c r="O501" s="42"/>
      <c r="P501" s="229"/>
      <c r="Q501" s="42"/>
      <c r="R501" s="42"/>
      <c r="S501" s="42"/>
      <c r="T501" s="42"/>
      <c r="U501" s="67"/>
      <c r="V501" s="220"/>
      <c r="W501" s="48"/>
      <c r="X501" s="49"/>
      <c r="Y501" s="43"/>
      <c r="Z501" s="49"/>
      <c r="AA501" s="43"/>
      <c r="AB501" s="43"/>
      <c r="AC501" s="49"/>
      <c r="AE501" s="43"/>
      <c r="AF501" s="69"/>
      <c r="AH501" s="150"/>
      <c r="AI501" s="46"/>
      <c r="AJ501" s="138"/>
      <c r="AK501" s="138"/>
      <c r="AL501" s="138"/>
      <c r="AM501" s="42"/>
      <c r="AO501" s="42"/>
      <c r="AQ501" s="43"/>
      <c r="AR501" s="43"/>
      <c r="AS501" s="44"/>
      <c r="AT501" s="152"/>
      <c r="AU501" s="44"/>
      <c r="AW501" s="42"/>
      <c r="AX501" s="42"/>
      <c r="AY501" s="45"/>
      <c r="AZ501" s="47"/>
      <c r="BG501" s="43"/>
      <c r="BI501" s="43"/>
      <c r="BJ501" s="43"/>
      <c r="BK501" s="43"/>
      <c r="BL501" s="43"/>
      <c r="BM501" s="43"/>
      <c r="BO501" s="43"/>
      <c r="BR501" s="43"/>
      <c r="BS501" s="43"/>
      <c r="BW501" s="43"/>
      <c r="CC501" s="43"/>
      <c r="CE501" s="43"/>
      <c r="CF501" s="43"/>
      <c r="CH501" s="43"/>
      <c r="CK501" s="43"/>
    </row>
    <row r="502" spans="2:89" ht="15.75" customHeight="1" x14ac:dyDescent="0.25">
      <c r="B502" s="89"/>
      <c r="C502" s="123"/>
      <c r="D502" s="47"/>
      <c r="E502" s="40"/>
      <c r="F502" s="43"/>
      <c r="G502" s="43"/>
      <c r="H502" s="41"/>
      <c r="I502" s="42"/>
      <c r="J502" s="245"/>
      <c r="K502" s="84"/>
      <c r="L502" s="45"/>
      <c r="M502" s="50"/>
      <c r="N502" s="42"/>
      <c r="O502" s="42"/>
      <c r="P502" s="42"/>
      <c r="Q502" s="42"/>
      <c r="R502" s="42"/>
      <c r="S502" s="42"/>
      <c r="T502" s="42"/>
      <c r="U502" s="67"/>
      <c r="V502" s="222"/>
      <c r="W502" s="48"/>
      <c r="X502" s="49"/>
      <c r="Y502" s="43"/>
      <c r="Z502" s="49"/>
      <c r="AA502" s="43"/>
      <c r="AB502" s="43"/>
      <c r="AC502" s="49"/>
      <c r="AE502" s="43"/>
      <c r="AF502" s="69"/>
      <c r="AH502" s="151"/>
      <c r="AI502" s="46"/>
      <c r="AJ502" s="138"/>
      <c r="AK502" s="138"/>
      <c r="AL502" s="138"/>
      <c r="AM502" s="42"/>
      <c r="AO502" s="42"/>
      <c r="AQ502" s="43"/>
      <c r="AR502" s="43"/>
      <c r="AS502" s="44"/>
      <c r="AT502" s="152"/>
      <c r="AU502" s="44"/>
      <c r="AW502" s="42"/>
      <c r="AX502" s="42"/>
      <c r="AY502" s="45"/>
      <c r="AZ502" s="47"/>
      <c r="BG502" s="43"/>
      <c r="BI502" s="43"/>
      <c r="BJ502" s="43"/>
      <c r="BK502" s="43"/>
      <c r="BL502" s="43"/>
      <c r="BM502" s="43"/>
      <c r="BO502" s="43"/>
      <c r="BR502" s="43"/>
      <c r="BS502" s="43"/>
      <c r="BW502" s="43"/>
      <c r="CC502" s="43"/>
      <c r="CE502" s="43"/>
      <c r="CF502" s="43"/>
      <c r="CH502" s="43"/>
      <c r="CK502" s="43"/>
    </row>
    <row r="503" spans="2:89" ht="15.75" customHeight="1" x14ac:dyDescent="0.25">
      <c r="B503" s="89"/>
      <c r="C503" s="123"/>
      <c r="D503" s="47"/>
      <c r="E503" s="40"/>
      <c r="F503" s="43"/>
      <c r="G503" s="43"/>
      <c r="H503" s="41"/>
      <c r="I503" s="42"/>
      <c r="J503" s="42"/>
      <c r="K503" s="84"/>
      <c r="L503" s="45"/>
      <c r="M503" s="43"/>
      <c r="N503" s="42"/>
      <c r="O503" s="42"/>
      <c r="P503" s="229"/>
      <c r="Q503" s="42"/>
      <c r="R503" s="42"/>
      <c r="S503" s="42"/>
      <c r="T503" s="42"/>
      <c r="U503" s="67"/>
      <c r="V503" s="220"/>
      <c r="W503" s="48"/>
      <c r="X503" s="49"/>
      <c r="Y503" s="43"/>
      <c r="Z503" s="49"/>
      <c r="AA503" s="43"/>
      <c r="AB503" s="43"/>
      <c r="AC503" s="49"/>
      <c r="AE503" s="43"/>
      <c r="AF503" s="69"/>
      <c r="AI503" s="46"/>
      <c r="AJ503" s="138"/>
      <c r="AK503" s="138"/>
      <c r="AL503" s="138"/>
      <c r="AM503" s="42"/>
      <c r="AO503" s="42"/>
      <c r="AQ503" s="43"/>
      <c r="AR503" s="43"/>
      <c r="AS503" s="44"/>
      <c r="AT503" s="44"/>
      <c r="AU503" s="44"/>
      <c r="AW503" s="42"/>
      <c r="AX503" s="42"/>
      <c r="AY503" s="45"/>
      <c r="AZ503" s="47"/>
      <c r="BG503" s="43"/>
      <c r="BI503" s="43"/>
      <c r="BJ503" s="43"/>
      <c r="BK503" s="43"/>
      <c r="BL503" s="43"/>
      <c r="BM503" s="43"/>
      <c r="BO503" s="43"/>
      <c r="BR503" s="43"/>
      <c r="BS503" s="43"/>
      <c r="BW503" s="43"/>
      <c r="CC503" s="43"/>
      <c r="CE503" s="43"/>
      <c r="CF503" s="43"/>
      <c r="CH503" s="43"/>
      <c r="CK503" s="43"/>
    </row>
    <row r="504" spans="2:89" ht="15.75" customHeight="1" x14ac:dyDescent="0.25">
      <c r="B504" s="89"/>
      <c r="C504" s="123"/>
      <c r="D504" s="47"/>
      <c r="E504" s="40"/>
      <c r="F504" s="43"/>
      <c r="G504" s="43"/>
      <c r="H504" s="41"/>
      <c r="I504" s="42"/>
      <c r="J504" s="42"/>
      <c r="K504" s="84"/>
      <c r="L504" s="45"/>
      <c r="M504" s="43"/>
      <c r="N504" s="42"/>
      <c r="O504" s="42"/>
      <c r="P504" s="223"/>
      <c r="Q504" s="42"/>
      <c r="R504" s="42"/>
      <c r="S504" s="42"/>
      <c r="T504" s="42"/>
      <c r="U504" s="67"/>
      <c r="V504" s="220"/>
      <c r="W504" s="48"/>
      <c r="X504" s="49"/>
      <c r="Y504" s="43"/>
      <c r="Z504" s="49"/>
      <c r="AA504" s="43"/>
      <c r="AB504" s="43"/>
      <c r="AC504" s="49"/>
      <c r="AE504" s="43"/>
      <c r="AF504" s="69"/>
      <c r="AI504" s="46"/>
      <c r="AJ504" s="138"/>
      <c r="AK504" s="138"/>
      <c r="AL504" s="138"/>
      <c r="AM504" s="42"/>
      <c r="AO504" s="42"/>
      <c r="AQ504" s="43"/>
      <c r="AR504" s="43"/>
      <c r="AS504" s="44"/>
      <c r="AT504" s="152"/>
      <c r="AU504" s="44"/>
      <c r="AW504" s="42"/>
      <c r="AX504" s="42"/>
      <c r="AY504" s="45"/>
      <c r="AZ504" s="47"/>
      <c r="BG504" s="43"/>
      <c r="BI504" s="43"/>
      <c r="BJ504" s="43"/>
      <c r="BK504" s="43"/>
      <c r="BL504" s="43"/>
      <c r="BM504" s="43"/>
      <c r="BO504" s="43"/>
      <c r="BR504" s="43"/>
      <c r="BS504" s="43"/>
      <c r="BW504" s="43"/>
      <c r="CC504" s="43"/>
      <c r="CE504" s="43"/>
      <c r="CF504" s="43"/>
      <c r="CH504" s="43"/>
      <c r="CK504" s="43"/>
    </row>
    <row r="505" spans="2:89" x14ac:dyDescent="0.25">
      <c r="B505" s="89"/>
      <c r="C505" s="123"/>
      <c r="D505" s="47"/>
      <c r="E505" s="40"/>
      <c r="F505" s="43"/>
      <c r="G505" s="43"/>
      <c r="H505" s="41"/>
      <c r="I505" s="42"/>
      <c r="J505" s="42"/>
      <c r="K505" s="84"/>
      <c r="L505" s="45"/>
      <c r="M505" s="50"/>
      <c r="N505" s="42"/>
      <c r="O505" s="233"/>
      <c r="P505" s="200"/>
      <c r="Q505" s="42"/>
      <c r="R505" s="42"/>
      <c r="S505" s="42"/>
      <c r="T505" s="42"/>
      <c r="U505" s="67"/>
      <c r="V505" s="220"/>
      <c r="W505" s="48"/>
      <c r="X505" s="49"/>
      <c r="Y505" s="43"/>
      <c r="Z505" s="49"/>
      <c r="AA505" s="43"/>
      <c r="AB505" s="43"/>
      <c r="AC505" s="49"/>
      <c r="AE505" s="43"/>
      <c r="AF505" s="69"/>
      <c r="AI505" s="46"/>
      <c r="AJ505" s="138"/>
      <c r="AK505" s="138"/>
      <c r="AL505" s="138"/>
      <c r="AM505" s="42"/>
      <c r="AO505" s="42"/>
      <c r="AQ505" s="43"/>
      <c r="AR505" s="43"/>
      <c r="AS505" s="44"/>
      <c r="AT505" s="44"/>
      <c r="AU505" s="44"/>
      <c r="AW505" s="42"/>
      <c r="AX505" s="42"/>
      <c r="AY505" s="45"/>
      <c r="AZ505" s="47"/>
      <c r="BG505" s="43"/>
      <c r="BI505" s="43"/>
      <c r="BJ505" s="43"/>
      <c r="BK505" s="43"/>
      <c r="BL505" s="43"/>
      <c r="BM505" s="43"/>
      <c r="BO505" s="43"/>
      <c r="BR505" s="43"/>
      <c r="BS505" s="43"/>
      <c r="BW505" s="43"/>
      <c r="CC505" s="43"/>
      <c r="CE505" s="43"/>
      <c r="CF505" s="43"/>
      <c r="CH505" s="43"/>
      <c r="CK505" s="43"/>
    </row>
    <row r="506" spans="2:89" x14ac:dyDescent="0.25">
      <c r="B506" s="89"/>
      <c r="C506" s="123"/>
      <c r="D506" s="47"/>
      <c r="E506" s="40"/>
      <c r="F506" s="43"/>
      <c r="G506" s="43"/>
      <c r="H506" s="41"/>
      <c r="I506" s="42"/>
      <c r="J506" s="42"/>
      <c r="K506" s="84"/>
      <c r="L506" s="45"/>
      <c r="M506" s="50"/>
      <c r="N506" s="42"/>
      <c r="O506" s="42"/>
      <c r="P506" s="229"/>
      <c r="Q506" s="42"/>
      <c r="R506" s="42"/>
      <c r="S506" s="42"/>
      <c r="T506" s="42"/>
      <c r="U506" s="67"/>
      <c r="V506" s="220"/>
      <c r="W506" s="48"/>
      <c r="X506" s="49"/>
      <c r="Y506" s="43"/>
      <c r="Z506" s="49"/>
      <c r="AA506" s="43"/>
      <c r="AB506" s="43"/>
      <c r="AC506" s="49"/>
      <c r="AE506" s="43"/>
      <c r="AF506" s="69"/>
      <c r="AI506" s="46"/>
      <c r="AJ506" s="138"/>
      <c r="AK506" s="138"/>
      <c r="AL506" s="138"/>
      <c r="AM506" s="42"/>
      <c r="AO506" s="42"/>
      <c r="AQ506" s="43"/>
      <c r="AR506" s="43"/>
      <c r="AS506" s="44"/>
      <c r="AT506" s="44"/>
      <c r="AU506" s="44"/>
      <c r="AW506" s="42"/>
      <c r="AX506" s="42"/>
      <c r="AY506" s="45"/>
      <c r="AZ506" s="47"/>
      <c r="BG506" s="43"/>
      <c r="BI506" s="43"/>
      <c r="BJ506" s="43"/>
      <c r="BK506" s="43"/>
      <c r="BL506" s="43"/>
      <c r="BM506" s="43"/>
      <c r="BO506" s="43"/>
      <c r="BR506" s="43"/>
      <c r="BS506" s="43"/>
      <c r="BW506" s="43"/>
      <c r="CC506" s="43"/>
      <c r="CE506" s="43"/>
      <c r="CF506" s="43"/>
      <c r="CH506" s="43"/>
      <c r="CK506" s="43"/>
    </row>
    <row r="507" spans="2:89" x14ac:dyDescent="0.25">
      <c r="B507" s="89"/>
      <c r="C507" s="123"/>
      <c r="D507" s="47"/>
      <c r="E507" s="40"/>
      <c r="F507" s="43"/>
      <c r="G507" s="43"/>
      <c r="H507" s="41"/>
      <c r="I507" s="42"/>
      <c r="J507" s="42"/>
      <c r="K507" s="84"/>
      <c r="L507" s="45"/>
      <c r="M507" s="50"/>
      <c r="N507" s="42"/>
      <c r="O507" s="42"/>
      <c r="P507" s="200"/>
      <c r="Q507" s="42"/>
      <c r="R507" s="42"/>
      <c r="S507" s="42"/>
      <c r="T507" s="42"/>
      <c r="U507" s="67"/>
      <c r="V507" s="220"/>
      <c r="W507" s="48"/>
      <c r="X507" s="49"/>
      <c r="Y507" s="43"/>
      <c r="Z507" s="49"/>
      <c r="AA507" s="43"/>
      <c r="AB507" s="43"/>
      <c r="AC507" s="49"/>
      <c r="AE507" s="43"/>
      <c r="AF507" s="69"/>
      <c r="AI507" s="46"/>
      <c r="AJ507" s="138"/>
      <c r="AK507" s="138"/>
      <c r="AL507" s="138"/>
      <c r="AM507" s="42"/>
      <c r="AO507" s="42"/>
      <c r="AQ507" s="43"/>
      <c r="AR507" s="43"/>
      <c r="AS507" s="44"/>
      <c r="AT507" s="44"/>
      <c r="AU507" s="44"/>
      <c r="AW507" s="42"/>
      <c r="AX507" s="42"/>
      <c r="AY507" s="45"/>
      <c r="AZ507" s="47"/>
      <c r="BG507" s="43"/>
      <c r="BI507" s="43"/>
      <c r="BJ507" s="43"/>
      <c r="BK507" s="43"/>
      <c r="BL507" s="43"/>
      <c r="BM507" s="43"/>
      <c r="BO507" s="43"/>
      <c r="BR507" s="43"/>
      <c r="BS507" s="43"/>
      <c r="BW507" s="43"/>
      <c r="CC507" s="43"/>
      <c r="CE507" s="43"/>
      <c r="CF507" s="43"/>
      <c r="CH507" s="43"/>
      <c r="CK507" s="43"/>
    </row>
    <row r="508" spans="2:89" x14ac:dyDescent="0.25">
      <c r="B508" s="157"/>
      <c r="C508" s="123"/>
      <c r="D508" s="143"/>
      <c r="E508" s="40"/>
      <c r="F508" s="43"/>
      <c r="G508" s="43"/>
      <c r="H508" s="176"/>
      <c r="I508" s="42"/>
      <c r="J508" s="42"/>
      <c r="K508" s="177"/>
      <c r="L508" s="45"/>
      <c r="M508" s="50"/>
      <c r="N508" s="42"/>
      <c r="O508" s="42"/>
      <c r="P508" s="42"/>
      <c r="Q508" s="42"/>
      <c r="R508" s="42"/>
      <c r="S508" s="42"/>
      <c r="T508" s="42"/>
      <c r="U508" s="178"/>
      <c r="V508" s="220"/>
      <c r="W508" s="48"/>
      <c r="X508" s="49"/>
      <c r="Y508" s="43"/>
      <c r="Z508" s="49"/>
      <c r="AA508" s="43"/>
      <c r="AB508" s="43"/>
      <c r="AC508" s="49"/>
      <c r="AE508" s="43"/>
      <c r="AF508" s="69"/>
      <c r="AG508" s="69"/>
      <c r="AI508" s="46"/>
      <c r="AJ508" s="139"/>
      <c r="AK508" s="138"/>
      <c r="AL508" s="175"/>
      <c r="AM508" s="74"/>
      <c r="AN508" s="74"/>
      <c r="AO508" s="74"/>
      <c r="AP508" s="74"/>
      <c r="AQ508" s="81"/>
      <c r="AR508" s="81"/>
      <c r="AS508" s="44"/>
      <c r="AT508" s="82"/>
      <c r="AU508" s="44"/>
      <c r="AV508" s="81"/>
      <c r="AW508" s="74"/>
      <c r="AX508" s="74"/>
      <c r="AY508" s="74"/>
      <c r="AZ508" s="83"/>
      <c r="BG508" s="43"/>
      <c r="BI508" s="43"/>
      <c r="BJ508" s="43"/>
      <c r="BK508" s="43"/>
      <c r="BL508" s="43"/>
      <c r="BM508" s="43"/>
      <c r="BO508" s="43"/>
      <c r="BR508" s="43"/>
      <c r="BS508" s="43"/>
      <c r="BW508" s="43"/>
      <c r="CC508" s="43"/>
      <c r="CE508" s="43"/>
      <c r="CF508" s="43"/>
      <c r="CH508" s="43"/>
      <c r="CK508" s="43"/>
    </row>
    <row r="509" spans="2:89" x14ac:dyDescent="0.25">
      <c r="B509" s="89"/>
      <c r="C509" s="124"/>
      <c r="D509" s="47"/>
      <c r="E509" s="40"/>
      <c r="F509" s="43"/>
      <c r="G509" s="43"/>
      <c r="H509" s="41"/>
      <c r="I509" s="42"/>
      <c r="J509" s="42"/>
      <c r="K509" s="84"/>
      <c r="L509" s="45"/>
      <c r="M509" s="43"/>
      <c r="N509" s="42"/>
      <c r="O509" s="42"/>
      <c r="P509" s="229"/>
      <c r="Q509" s="42"/>
      <c r="R509" s="42"/>
      <c r="S509" s="42"/>
      <c r="T509" s="42"/>
      <c r="U509" s="67"/>
      <c r="V509" s="220"/>
      <c r="W509" s="48"/>
      <c r="X509" s="49"/>
      <c r="Y509" s="43"/>
      <c r="Z509" s="49"/>
      <c r="AA509" s="43"/>
      <c r="AB509" s="43"/>
      <c r="AC509" s="49"/>
      <c r="AE509" s="43"/>
      <c r="AF509" s="69"/>
      <c r="AI509" s="46"/>
      <c r="AJ509" s="138"/>
      <c r="AK509" s="138"/>
      <c r="AL509" s="138"/>
      <c r="AM509" s="42"/>
      <c r="AO509" s="42"/>
      <c r="AQ509" s="43"/>
      <c r="AR509" s="43"/>
      <c r="AS509" s="44"/>
      <c r="AT509" s="152"/>
      <c r="AU509" s="44"/>
      <c r="AW509" s="42"/>
      <c r="AX509" s="42"/>
      <c r="AY509" s="45"/>
      <c r="AZ509" s="47"/>
      <c r="BG509" s="43"/>
      <c r="BI509" s="43"/>
      <c r="BJ509" s="43"/>
      <c r="BK509" s="43"/>
      <c r="BL509" s="43"/>
      <c r="BM509" s="43"/>
      <c r="BO509" s="43"/>
      <c r="BR509" s="43"/>
      <c r="BS509" s="43"/>
      <c r="BW509" s="43"/>
      <c r="CC509" s="43"/>
      <c r="CE509" s="43"/>
      <c r="CF509" s="43"/>
      <c r="CH509" s="43"/>
      <c r="CK509" s="43"/>
    </row>
    <row r="510" spans="2:89" x14ac:dyDescent="0.25">
      <c r="B510" s="89"/>
      <c r="C510" s="123"/>
      <c r="D510" s="47"/>
      <c r="E510" s="40"/>
      <c r="F510" s="43"/>
      <c r="G510" s="43"/>
      <c r="H510" s="41"/>
      <c r="I510" s="42"/>
      <c r="J510" s="42"/>
      <c r="K510" s="84"/>
      <c r="L510" s="45"/>
      <c r="M510" s="43"/>
      <c r="N510" s="42"/>
      <c r="O510" s="42"/>
      <c r="P510" s="200"/>
      <c r="Q510" s="42"/>
      <c r="R510" s="42"/>
      <c r="S510" s="42"/>
      <c r="T510" s="42"/>
      <c r="U510" s="67"/>
      <c r="V510" s="234"/>
      <c r="W510" s="48"/>
      <c r="X510" s="49"/>
      <c r="Y510" s="43"/>
      <c r="Z510" s="49"/>
      <c r="AA510" s="43"/>
      <c r="AB510" s="43"/>
      <c r="AC510" s="49"/>
      <c r="AE510" s="43"/>
      <c r="AF510" s="69"/>
      <c r="AI510" s="46"/>
      <c r="AJ510" s="138"/>
      <c r="AK510" s="138"/>
      <c r="AL510" s="138"/>
      <c r="AM510" s="42"/>
      <c r="AO510" s="42"/>
      <c r="AQ510" s="43"/>
      <c r="AR510" s="43"/>
      <c r="AS510" s="44"/>
      <c r="AT510" s="44"/>
      <c r="AU510" s="44"/>
      <c r="AW510" s="42"/>
      <c r="AX510" s="42"/>
      <c r="AY510" s="45"/>
      <c r="AZ510" s="47"/>
      <c r="BG510" s="43"/>
      <c r="BI510" s="43"/>
      <c r="BJ510" s="43"/>
      <c r="BK510" s="43"/>
      <c r="BL510" s="43"/>
      <c r="BM510" s="43"/>
      <c r="BO510" s="43"/>
      <c r="BR510" s="43"/>
      <c r="BS510" s="43"/>
      <c r="BW510" s="43"/>
      <c r="CC510" s="43"/>
      <c r="CE510" s="43"/>
      <c r="CF510" s="43"/>
      <c r="CH510" s="43"/>
      <c r="CK510" s="43"/>
    </row>
    <row r="511" spans="2:89" x14ac:dyDescent="0.25">
      <c r="B511" s="89"/>
      <c r="C511" s="123"/>
      <c r="D511" s="47"/>
      <c r="E511" s="40"/>
      <c r="F511" s="43"/>
      <c r="G511" s="43"/>
      <c r="H511" s="41"/>
      <c r="I511" s="42"/>
      <c r="J511" s="42"/>
      <c r="K511" s="84"/>
      <c r="L511" s="45"/>
      <c r="M511" s="50"/>
      <c r="N511" s="42"/>
      <c r="O511" s="42"/>
      <c r="P511" s="42"/>
      <c r="Q511" s="42"/>
      <c r="R511" s="42"/>
      <c r="S511" s="42"/>
      <c r="T511" s="42"/>
      <c r="U511" s="67"/>
      <c r="V511" s="220"/>
      <c r="W511" s="48"/>
      <c r="X511" s="49"/>
      <c r="Y511" s="43"/>
      <c r="Z511" s="49"/>
      <c r="AA511" s="43"/>
      <c r="AB511" s="43"/>
      <c r="AC511" s="49"/>
      <c r="AE511" s="43"/>
      <c r="AF511" s="69"/>
      <c r="AI511" s="46"/>
      <c r="AJ511" s="138"/>
      <c r="AK511" s="138"/>
      <c r="AL511" s="138"/>
      <c r="AM511" s="42"/>
      <c r="AO511" s="42"/>
      <c r="AQ511" s="43"/>
      <c r="AR511" s="43"/>
      <c r="AS511" s="44"/>
      <c r="AT511" s="44"/>
      <c r="AU511" s="44"/>
      <c r="AW511" s="42"/>
      <c r="AX511" s="42"/>
      <c r="AY511" s="45"/>
      <c r="AZ511" s="47"/>
      <c r="BG511" s="43"/>
      <c r="BI511" s="43"/>
      <c r="BJ511" s="43"/>
      <c r="BK511" s="43"/>
      <c r="BL511" s="43"/>
      <c r="BM511" s="43"/>
      <c r="BO511" s="43"/>
      <c r="BR511" s="43"/>
      <c r="BS511" s="43"/>
      <c r="BW511" s="43"/>
      <c r="CC511" s="43"/>
      <c r="CE511" s="43"/>
      <c r="CF511" s="43"/>
      <c r="CH511" s="43"/>
      <c r="CK511" s="43"/>
    </row>
    <row r="512" spans="2:89" x14ac:dyDescent="0.25">
      <c r="B512" s="89"/>
      <c r="C512" s="123"/>
      <c r="D512" s="47"/>
      <c r="E512" s="40"/>
      <c r="F512" s="43"/>
      <c r="G512" s="43"/>
      <c r="H512" s="41"/>
      <c r="I512" s="42"/>
      <c r="J512" s="42"/>
      <c r="K512" s="84"/>
      <c r="L512" s="45"/>
      <c r="M512" s="50"/>
      <c r="N512" s="42"/>
      <c r="O512" s="42"/>
      <c r="P512" s="229"/>
      <c r="Q512" s="42"/>
      <c r="R512" s="42"/>
      <c r="S512" s="42"/>
      <c r="T512" s="42"/>
      <c r="U512" s="67"/>
      <c r="V512" s="220"/>
      <c r="W512" s="48"/>
      <c r="X512" s="49"/>
      <c r="Y512" s="43"/>
      <c r="Z512" s="49"/>
      <c r="AA512" s="43"/>
      <c r="AB512" s="43"/>
      <c r="AC512" s="49"/>
      <c r="AE512" s="43"/>
      <c r="AF512" s="69"/>
      <c r="AI512" s="46"/>
      <c r="AJ512" s="138"/>
      <c r="AK512" s="138"/>
      <c r="AL512" s="138"/>
      <c r="AM512" s="42"/>
      <c r="AO512" s="42"/>
      <c r="AQ512" s="43"/>
      <c r="AR512" s="43"/>
      <c r="AS512" s="44"/>
      <c r="AT512" s="44"/>
      <c r="AU512" s="44"/>
      <c r="AW512" s="42"/>
      <c r="AX512" s="42"/>
      <c r="AY512" s="45"/>
      <c r="AZ512" s="47"/>
      <c r="BG512" s="43"/>
      <c r="BI512" s="43"/>
      <c r="BJ512" s="43"/>
      <c r="BK512" s="43"/>
      <c r="BL512" s="43"/>
      <c r="BM512" s="43"/>
      <c r="BO512" s="43"/>
      <c r="BR512" s="43"/>
      <c r="BS512" s="43"/>
      <c r="BW512" s="43"/>
      <c r="CC512" s="43"/>
      <c r="CE512" s="43"/>
      <c r="CF512" s="43"/>
      <c r="CH512" s="43"/>
      <c r="CK512" s="43"/>
    </row>
    <row r="513" spans="2:89" x14ac:dyDescent="0.25">
      <c r="B513" s="89"/>
      <c r="C513" s="123"/>
      <c r="D513" s="47"/>
      <c r="E513" s="40"/>
      <c r="F513" s="43"/>
      <c r="G513" s="43"/>
      <c r="H513" s="41"/>
      <c r="I513" s="42"/>
      <c r="J513" s="244"/>
      <c r="K513" s="84"/>
      <c r="L513" s="45"/>
      <c r="M513" s="50"/>
      <c r="N513" s="42"/>
      <c r="O513" s="42"/>
      <c r="P513" s="200"/>
      <c r="Q513" s="42"/>
      <c r="R513" s="42"/>
      <c r="S513" s="42"/>
      <c r="T513" s="42"/>
      <c r="U513" s="67"/>
      <c r="V513" s="220"/>
      <c r="W513" s="48"/>
      <c r="X513" s="49"/>
      <c r="Y513" s="43"/>
      <c r="Z513" s="49"/>
      <c r="AA513" s="43"/>
      <c r="AB513" s="43"/>
      <c r="AC513" s="49"/>
      <c r="AE513" s="43"/>
      <c r="AF513" s="69"/>
      <c r="AH513" s="151"/>
      <c r="AI513" s="46"/>
      <c r="AJ513" s="138"/>
      <c r="AK513" s="138"/>
      <c r="AL513" s="138"/>
      <c r="AM513" s="42"/>
      <c r="AO513" s="42"/>
      <c r="AQ513" s="43"/>
      <c r="AR513" s="43"/>
      <c r="AS513" s="44"/>
      <c r="AT513" s="152"/>
      <c r="AU513" s="44"/>
      <c r="AW513" s="42"/>
      <c r="AX513" s="42"/>
      <c r="AY513" s="45"/>
      <c r="AZ513" s="47"/>
      <c r="BG513" s="43"/>
      <c r="BI513" s="43"/>
      <c r="BJ513" s="43"/>
      <c r="BK513" s="43"/>
      <c r="BL513" s="43"/>
      <c r="BM513" s="43"/>
      <c r="BO513" s="43"/>
      <c r="BR513" s="43"/>
      <c r="BS513" s="43"/>
      <c r="BW513" s="43"/>
      <c r="CC513" s="43"/>
      <c r="CE513" s="43"/>
      <c r="CF513" s="43"/>
      <c r="CH513" s="43"/>
      <c r="CK513" s="43"/>
    </row>
    <row r="514" spans="2:89" x14ac:dyDescent="0.25">
      <c r="B514" s="89"/>
      <c r="C514" s="124"/>
      <c r="D514" s="47"/>
      <c r="E514" s="40"/>
      <c r="F514" s="43"/>
      <c r="G514" s="43"/>
      <c r="H514" s="41"/>
      <c r="I514" s="42"/>
      <c r="J514" s="42"/>
      <c r="K514" s="84"/>
      <c r="L514" s="45"/>
      <c r="M514" s="43"/>
      <c r="N514" s="42"/>
      <c r="O514" s="42"/>
      <c r="P514" s="229"/>
      <c r="Q514" s="42"/>
      <c r="R514" s="42"/>
      <c r="S514" s="42"/>
      <c r="T514" s="42"/>
      <c r="U514" s="67"/>
      <c r="V514" s="220"/>
      <c r="W514" s="48"/>
      <c r="X514" s="49"/>
      <c r="Y514" s="43"/>
      <c r="Z514" s="49"/>
      <c r="AA514" s="43"/>
      <c r="AB514" s="43"/>
      <c r="AC514" s="49"/>
      <c r="AE514" s="43"/>
      <c r="AF514" s="69"/>
      <c r="AI514" s="46"/>
      <c r="AJ514" s="138"/>
      <c r="AK514" s="138"/>
      <c r="AL514" s="138"/>
      <c r="AM514" s="42"/>
      <c r="AO514" s="42"/>
      <c r="AQ514" s="43"/>
      <c r="AR514" s="43"/>
      <c r="AS514" s="44"/>
      <c r="AT514" s="44"/>
      <c r="AU514" s="44"/>
      <c r="AW514" s="42"/>
      <c r="AX514" s="42"/>
      <c r="AY514" s="45"/>
      <c r="AZ514" s="47"/>
      <c r="BG514" s="43"/>
      <c r="BI514" s="43"/>
      <c r="BJ514" s="43"/>
      <c r="BK514" s="43"/>
      <c r="BL514" s="43"/>
      <c r="BM514" s="43"/>
      <c r="BO514" s="43"/>
      <c r="BR514" s="43"/>
      <c r="BS514" s="43"/>
      <c r="BW514" s="43"/>
      <c r="CC514" s="43"/>
      <c r="CE514" s="43"/>
      <c r="CF514" s="43"/>
      <c r="CH514" s="43"/>
      <c r="CK514" s="43"/>
    </row>
    <row r="515" spans="2:89" x14ac:dyDescent="0.25">
      <c r="B515" s="89"/>
      <c r="C515" s="123"/>
      <c r="D515" s="47"/>
      <c r="E515" s="40"/>
      <c r="F515" s="43"/>
      <c r="G515" s="43"/>
      <c r="H515" s="41"/>
      <c r="I515" s="42"/>
      <c r="J515" s="42"/>
      <c r="K515" s="84"/>
      <c r="L515" s="45"/>
      <c r="M515" s="43"/>
      <c r="N515" s="42"/>
      <c r="O515" s="42"/>
      <c r="P515" s="223"/>
      <c r="Q515" s="42"/>
      <c r="R515" s="42"/>
      <c r="S515" s="42"/>
      <c r="T515" s="42"/>
      <c r="U515" s="67"/>
      <c r="V515" s="220"/>
      <c r="W515" s="48"/>
      <c r="X515" s="49"/>
      <c r="Y515" s="43"/>
      <c r="Z515" s="49"/>
      <c r="AA515" s="43"/>
      <c r="AB515" s="43"/>
      <c r="AC515" s="49"/>
      <c r="AE515" s="43"/>
      <c r="AF515" s="69"/>
      <c r="AI515" s="46"/>
      <c r="AJ515" s="138"/>
      <c r="AK515" s="138"/>
      <c r="AL515" s="138"/>
      <c r="AM515" s="42"/>
      <c r="AO515" s="42"/>
      <c r="AQ515" s="43"/>
      <c r="AR515" s="43"/>
      <c r="AS515" s="44"/>
      <c r="AT515" s="44"/>
      <c r="AU515" s="44"/>
      <c r="AW515" s="42"/>
      <c r="AX515" s="42"/>
      <c r="AY515" s="45"/>
      <c r="AZ515" s="47"/>
      <c r="BG515" s="43"/>
      <c r="BI515" s="43"/>
      <c r="BJ515" s="43"/>
      <c r="BK515" s="43"/>
      <c r="BL515" s="43"/>
      <c r="BM515" s="43"/>
      <c r="BO515" s="43"/>
      <c r="BR515" s="43"/>
      <c r="BS515" s="43"/>
      <c r="BW515" s="43"/>
      <c r="CC515" s="43"/>
      <c r="CE515" s="43"/>
      <c r="CF515" s="43"/>
      <c r="CH515" s="43"/>
      <c r="CK515" s="43"/>
    </row>
    <row r="516" spans="2:89" x14ac:dyDescent="0.25">
      <c r="B516" s="89"/>
      <c r="C516" s="123"/>
      <c r="D516" s="47"/>
      <c r="E516" s="40"/>
      <c r="F516" s="43"/>
      <c r="G516" s="43"/>
      <c r="H516" s="41"/>
      <c r="I516" s="42"/>
      <c r="J516" s="42"/>
      <c r="K516" s="84"/>
      <c r="L516" s="45"/>
      <c r="M516" s="50"/>
      <c r="N516" s="42"/>
      <c r="O516" s="42"/>
      <c r="P516" s="229"/>
      <c r="Q516" s="42"/>
      <c r="R516" s="42"/>
      <c r="S516" s="42"/>
      <c r="T516" s="42"/>
      <c r="U516" s="67"/>
      <c r="V516" s="222"/>
      <c r="W516" s="48"/>
      <c r="X516" s="49"/>
      <c r="Y516" s="43"/>
      <c r="Z516" s="49"/>
      <c r="AA516" s="43"/>
      <c r="AB516" s="43"/>
      <c r="AC516" s="49"/>
      <c r="AE516" s="43"/>
      <c r="AF516" s="69"/>
      <c r="AI516" s="46"/>
      <c r="AJ516" s="138"/>
      <c r="AK516" s="138"/>
      <c r="AL516" s="138"/>
      <c r="AM516" s="42"/>
      <c r="AO516" s="42"/>
      <c r="AQ516" s="43"/>
      <c r="AR516" s="43"/>
      <c r="AS516" s="44"/>
      <c r="AT516" s="44"/>
      <c r="AU516" s="44"/>
      <c r="AW516" s="42"/>
      <c r="AX516" s="42"/>
      <c r="AY516" s="45"/>
      <c r="AZ516" s="47"/>
      <c r="BG516" s="43"/>
      <c r="BI516" s="43"/>
      <c r="BJ516" s="43"/>
      <c r="BK516" s="43"/>
      <c r="BL516" s="43"/>
      <c r="BM516" s="43"/>
      <c r="BO516" s="43"/>
      <c r="BR516" s="43"/>
      <c r="BS516" s="43"/>
      <c r="BW516" s="43"/>
      <c r="CC516" s="43"/>
      <c r="CE516" s="43"/>
      <c r="CF516" s="43"/>
      <c r="CH516" s="43"/>
      <c r="CK516" s="43"/>
    </row>
    <row r="517" spans="2:89" x14ac:dyDescent="0.25">
      <c r="B517" s="89"/>
      <c r="C517" s="123"/>
      <c r="D517" s="47"/>
      <c r="E517" s="40"/>
      <c r="F517" s="43"/>
      <c r="G517" s="43"/>
      <c r="H517" s="41"/>
      <c r="I517" s="42"/>
      <c r="J517" s="42"/>
      <c r="K517" s="84"/>
      <c r="L517" s="45"/>
      <c r="M517" s="50"/>
      <c r="N517" s="42"/>
      <c r="O517" s="42"/>
      <c r="P517" s="42"/>
      <c r="Q517" s="42"/>
      <c r="R517" s="42"/>
      <c r="S517" s="42"/>
      <c r="T517" s="42"/>
      <c r="U517" s="67"/>
      <c r="V517" s="220"/>
      <c r="W517" s="48"/>
      <c r="X517" s="49"/>
      <c r="Y517" s="43"/>
      <c r="Z517" s="49"/>
      <c r="AA517" s="43"/>
      <c r="AB517" s="43"/>
      <c r="AC517" s="49"/>
      <c r="AE517" s="43"/>
      <c r="AF517" s="69"/>
      <c r="AI517" s="46"/>
      <c r="AJ517" s="138"/>
      <c r="AK517" s="138"/>
      <c r="AL517" s="138"/>
      <c r="AM517" s="42"/>
      <c r="AO517" s="42"/>
      <c r="AQ517" s="43"/>
      <c r="AR517" s="43"/>
      <c r="AS517" s="44"/>
      <c r="AT517" s="44"/>
      <c r="AU517" s="44"/>
      <c r="AW517" s="42"/>
      <c r="AX517" s="42"/>
      <c r="AY517" s="45"/>
      <c r="AZ517" s="47"/>
      <c r="BG517" s="43"/>
      <c r="BI517" s="43"/>
      <c r="BJ517" s="43"/>
      <c r="BK517" s="43"/>
      <c r="BL517" s="43"/>
      <c r="BM517" s="43"/>
      <c r="BO517" s="43"/>
      <c r="BR517" s="43"/>
      <c r="BS517" s="43"/>
      <c r="BW517" s="43"/>
      <c r="CC517" s="43"/>
      <c r="CE517" s="43"/>
      <c r="CF517" s="43"/>
      <c r="CH517" s="43"/>
      <c r="CK517" s="43"/>
    </row>
    <row r="518" spans="2:89" x14ac:dyDescent="0.25">
      <c r="B518" s="89"/>
      <c r="C518" s="124"/>
      <c r="D518" s="47"/>
      <c r="E518" s="40"/>
      <c r="F518" s="43"/>
      <c r="G518" s="43"/>
      <c r="H518" s="41"/>
      <c r="I518" s="42"/>
      <c r="J518" s="42"/>
      <c r="K518" s="84"/>
      <c r="L518" s="45"/>
      <c r="M518" s="50"/>
      <c r="N518" s="42"/>
      <c r="O518" s="42"/>
      <c r="P518" s="42"/>
      <c r="Q518" s="42"/>
      <c r="R518" s="42"/>
      <c r="S518" s="42"/>
      <c r="T518" s="42"/>
      <c r="U518" s="67"/>
      <c r="V518" s="220"/>
      <c r="W518" s="48"/>
      <c r="X518" s="49"/>
      <c r="Y518" s="43"/>
      <c r="Z518" s="49"/>
      <c r="AA518" s="43"/>
      <c r="AB518" s="43"/>
      <c r="AC518" s="49"/>
      <c r="AD518" s="49"/>
      <c r="AE518" s="43"/>
      <c r="AF518" s="69"/>
      <c r="AI518" s="46"/>
      <c r="AJ518" s="138"/>
      <c r="AK518" s="138"/>
      <c r="AL518" s="138"/>
      <c r="AM518" s="42"/>
      <c r="AO518" s="42"/>
      <c r="AQ518" s="43"/>
      <c r="AR518" s="43"/>
      <c r="AS518" s="44"/>
      <c r="AT518" s="44"/>
      <c r="AU518" s="44"/>
      <c r="AW518" s="42"/>
      <c r="AX518" s="42"/>
      <c r="AY518" s="45"/>
      <c r="AZ518" s="47"/>
      <c r="BG518" s="43"/>
      <c r="BI518" s="43"/>
      <c r="BJ518" s="43"/>
      <c r="BK518" s="43"/>
      <c r="BL518" s="43"/>
      <c r="BM518" s="43"/>
      <c r="BO518" s="43"/>
      <c r="BR518" s="43"/>
      <c r="BS518" s="43"/>
      <c r="BW518" s="43"/>
      <c r="CC518" s="43"/>
      <c r="CE518" s="43"/>
      <c r="CF518" s="43"/>
      <c r="CH518" s="43"/>
      <c r="CK518" s="43"/>
    </row>
    <row r="519" spans="2:89" x14ac:dyDescent="0.25">
      <c r="B519" s="156"/>
      <c r="C519" s="124"/>
      <c r="D519" s="143"/>
      <c r="E519" s="40"/>
      <c r="F519" s="111"/>
      <c r="G519" s="111"/>
      <c r="H519" s="41"/>
      <c r="I519" s="75"/>
      <c r="J519" s="244"/>
      <c r="K519" s="84"/>
      <c r="L519" s="45"/>
      <c r="M519" s="50"/>
      <c r="N519" s="42"/>
      <c r="O519" s="42"/>
      <c r="P519" s="229"/>
      <c r="Q519" s="42"/>
      <c r="R519" s="42"/>
      <c r="S519" s="42"/>
      <c r="T519" s="42"/>
      <c r="U519" s="110"/>
      <c r="V519" s="220"/>
      <c r="W519" s="48"/>
      <c r="X519" s="49"/>
      <c r="Y519" s="43"/>
      <c r="Z519" s="49"/>
      <c r="AA519" s="43"/>
      <c r="AB519" s="43"/>
      <c r="AC519" s="49"/>
      <c r="AE519" s="43"/>
      <c r="AF519" s="69"/>
      <c r="AG519" s="69"/>
      <c r="AH519" s="150"/>
      <c r="AI519" s="46"/>
      <c r="AJ519" s="138"/>
      <c r="AK519" s="138"/>
      <c r="AL519" s="138"/>
      <c r="AM519" s="42"/>
      <c r="AO519" s="42"/>
      <c r="AQ519" s="43"/>
      <c r="AR519" s="43"/>
      <c r="AS519" s="44"/>
      <c r="AT519" s="44"/>
      <c r="AU519" s="44"/>
      <c r="AW519" s="42"/>
      <c r="AX519" s="42"/>
      <c r="AY519" s="45"/>
      <c r="AZ519" s="47"/>
      <c r="BG519" s="43"/>
      <c r="BI519" s="43"/>
      <c r="BJ519" s="43"/>
      <c r="BK519" s="43"/>
      <c r="BL519" s="43"/>
      <c r="BM519" s="43"/>
      <c r="BO519" s="43"/>
      <c r="BR519" s="43"/>
      <c r="BS519" s="43"/>
      <c r="BW519" s="43"/>
      <c r="CC519" s="43"/>
      <c r="CE519" s="43"/>
      <c r="CF519" s="43"/>
      <c r="CH519" s="43"/>
      <c r="CK519" s="43"/>
    </row>
    <row r="520" spans="2:89" x14ac:dyDescent="0.25">
      <c r="B520" s="89"/>
      <c r="C520" s="123"/>
      <c r="D520" s="47"/>
      <c r="E520" s="40"/>
      <c r="F520" s="43"/>
      <c r="G520" s="43"/>
      <c r="H520" s="41"/>
      <c r="I520" s="42"/>
      <c r="J520" s="42"/>
      <c r="K520" s="84"/>
      <c r="L520" s="45"/>
      <c r="M520" s="43"/>
      <c r="N520" s="42"/>
      <c r="O520" s="42"/>
      <c r="P520" s="229"/>
      <c r="Q520" s="42"/>
      <c r="R520" s="42"/>
      <c r="S520" s="42"/>
      <c r="T520" s="42"/>
      <c r="U520" s="67"/>
      <c r="V520" s="220"/>
      <c r="W520" s="48"/>
      <c r="X520" s="49"/>
      <c r="Y520" s="43"/>
      <c r="Z520" s="49"/>
      <c r="AA520" s="43"/>
      <c r="AB520" s="43"/>
      <c r="AC520" s="49"/>
      <c r="AE520" s="43"/>
      <c r="AF520" s="69"/>
      <c r="AI520" s="46"/>
      <c r="AJ520" s="138"/>
      <c r="AK520" s="138"/>
      <c r="AL520" s="138"/>
      <c r="AM520" s="42"/>
      <c r="AO520" s="42"/>
      <c r="AQ520" s="43"/>
      <c r="AR520" s="43"/>
      <c r="AS520" s="44"/>
      <c r="AT520" s="44"/>
      <c r="AU520" s="44"/>
      <c r="AW520" s="42"/>
      <c r="AX520" s="42"/>
      <c r="AY520" s="45"/>
      <c r="AZ520" s="47"/>
      <c r="BG520" s="43"/>
      <c r="BI520" s="43"/>
      <c r="BJ520" s="43"/>
      <c r="BK520" s="43"/>
      <c r="BL520" s="43"/>
      <c r="BM520" s="43"/>
      <c r="BO520" s="43"/>
      <c r="BR520" s="43"/>
      <c r="BS520" s="43"/>
      <c r="BW520" s="43"/>
      <c r="CC520" s="43"/>
      <c r="CE520" s="43"/>
      <c r="CF520" s="43"/>
      <c r="CH520" s="43"/>
      <c r="CK520" s="43"/>
    </row>
    <row r="521" spans="2:89" x14ac:dyDescent="0.25">
      <c r="B521" s="89"/>
      <c r="C521" s="123"/>
      <c r="D521" s="47"/>
      <c r="E521" s="40"/>
      <c r="F521" s="43"/>
      <c r="G521" s="43"/>
      <c r="H521" s="41"/>
      <c r="I521" s="42"/>
      <c r="J521" s="42"/>
      <c r="K521" s="84"/>
      <c r="L521" s="45"/>
      <c r="M521" s="43"/>
      <c r="N521" s="42"/>
      <c r="O521" s="42"/>
      <c r="P521" s="229"/>
      <c r="Q521" s="42"/>
      <c r="R521" s="42"/>
      <c r="S521" s="42"/>
      <c r="T521" s="42"/>
      <c r="U521" s="67"/>
      <c r="V521" s="220"/>
      <c r="W521" s="48"/>
      <c r="X521" s="49"/>
      <c r="Y521" s="43"/>
      <c r="Z521" s="49"/>
      <c r="AA521" s="43"/>
      <c r="AB521" s="43"/>
      <c r="AC521" s="49"/>
      <c r="AE521" s="43"/>
      <c r="AF521" s="69"/>
      <c r="AI521" s="46"/>
      <c r="AJ521" s="138"/>
      <c r="AK521" s="138"/>
      <c r="AL521" s="138"/>
      <c r="AM521" s="42"/>
      <c r="AO521" s="42"/>
      <c r="AQ521" s="43"/>
      <c r="AR521" s="43"/>
      <c r="AS521" s="44"/>
      <c r="AT521" s="44"/>
      <c r="AU521" s="44"/>
      <c r="AW521" s="42"/>
      <c r="AX521" s="42"/>
      <c r="AY521" s="45"/>
      <c r="AZ521" s="47"/>
      <c r="BG521" s="43"/>
      <c r="BI521" s="43"/>
      <c r="BJ521" s="43"/>
      <c r="BK521" s="43"/>
      <c r="BL521" s="43"/>
      <c r="BM521" s="43"/>
      <c r="BO521" s="43"/>
      <c r="BR521" s="43"/>
      <c r="BS521" s="43"/>
      <c r="BW521" s="43"/>
      <c r="CC521" s="43"/>
      <c r="CE521" s="43"/>
      <c r="CF521" s="43"/>
      <c r="CH521" s="43"/>
      <c r="CK521" s="43"/>
    </row>
    <row r="522" spans="2:89" x14ac:dyDescent="0.25">
      <c r="B522" s="89"/>
      <c r="C522" s="127"/>
      <c r="D522" s="47"/>
      <c r="E522" s="40"/>
      <c r="F522" s="43"/>
      <c r="G522" s="43"/>
      <c r="H522" s="41"/>
      <c r="I522" s="42"/>
      <c r="J522" s="42"/>
      <c r="K522" s="84"/>
      <c r="L522" s="45"/>
      <c r="M522" s="50"/>
      <c r="N522" s="42"/>
      <c r="O522" s="42"/>
      <c r="P522" s="42"/>
      <c r="Q522" s="42"/>
      <c r="R522" s="42"/>
      <c r="S522" s="42"/>
      <c r="T522" s="42"/>
      <c r="U522" s="67"/>
      <c r="V522" s="220"/>
      <c r="W522" s="48"/>
      <c r="X522" s="49"/>
      <c r="Y522" s="43"/>
      <c r="Z522" s="49"/>
      <c r="AA522" s="43"/>
      <c r="AB522" s="43"/>
      <c r="AC522" s="49"/>
      <c r="AE522" s="43"/>
      <c r="AF522" s="69"/>
      <c r="AI522" s="46"/>
      <c r="AJ522" s="138"/>
      <c r="AK522" s="138"/>
      <c r="AL522" s="138"/>
      <c r="AM522" s="42"/>
      <c r="AO522" s="42"/>
      <c r="AQ522" s="43"/>
      <c r="AR522" s="43"/>
      <c r="AS522" s="44"/>
      <c r="AT522" s="44"/>
      <c r="AU522" s="44"/>
      <c r="AW522" s="42"/>
      <c r="AX522" s="42"/>
      <c r="AY522" s="45"/>
      <c r="AZ522" s="47"/>
      <c r="BG522" s="43"/>
      <c r="BI522" s="43"/>
      <c r="BJ522" s="43"/>
      <c r="BK522" s="43"/>
      <c r="BL522" s="43"/>
      <c r="BM522" s="43"/>
      <c r="BO522" s="43"/>
      <c r="BR522" s="43"/>
      <c r="BS522" s="43"/>
      <c r="BW522" s="43"/>
      <c r="CC522" s="43"/>
      <c r="CE522" s="43"/>
      <c r="CF522" s="43"/>
      <c r="CH522" s="43"/>
      <c r="CK522" s="43"/>
    </row>
    <row r="523" spans="2:89" x14ac:dyDescent="0.25">
      <c r="B523" s="89"/>
      <c r="C523" s="123"/>
      <c r="D523" s="47"/>
      <c r="E523" s="40"/>
      <c r="F523" s="43"/>
      <c r="G523" s="43"/>
      <c r="H523" s="41"/>
      <c r="I523" s="42"/>
      <c r="J523" s="42"/>
      <c r="K523" s="84"/>
      <c r="L523" s="45"/>
      <c r="M523" s="50"/>
      <c r="N523" s="42"/>
      <c r="O523" s="42"/>
      <c r="P523" s="42"/>
      <c r="Q523" s="42"/>
      <c r="R523" s="42"/>
      <c r="S523" s="42"/>
      <c r="T523" s="42"/>
      <c r="U523" s="67"/>
      <c r="V523" s="220"/>
      <c r="W523" s="48"/>
      <c r="X523" s="49"/>
      <c r="Y523" s="43"/>
      <c r="Z523" s="49"/>
      <c r="AA523" s="43"/>
      <c r="AB523" s="43"/>
      <c r="AC523" s="49"/>
      <c r="AE523" s="43"/>
      <c r="AF523" s="69"/>
      <c r="AI523" s="46"/>
      <c r="AJ523" s="138"/>
      <c r="AK523" s="138"/>
      <c r="AL523" s="138"/>
      <c r="AM523" s="42"/>
      <c r="AO523" s="42"/>
      <c r="AQ523" s="43"/>
      <c r="AR523" s="43"/>
      <c r="AS523" s="44"/>
      <c r="AT523" s="44"/>
      <c r="AU523" s="44"/>
      <c r="AW523" s="42"/>
      <c r="AX523" s="42"/>
      <c r="AY523" s="45"/>
      <c r="AZ523" s="47"/>
      <c r="BG523" s="43"/>
      <c r="BI523" s="43"/>
      <c r="BJ523" s="43"/>
      <c r="BK523" s="43"/>
      <c r="BL523" s="43"/>
      <c r="BM523" s="43"/>
      <c r="BO523" s="43"/>
      <c r="BR523" s="43"/>
      <c r="BS523" s="43"/>
      <c r="BW523" s="43"/>
      <c r="CC523" s="43"/>
      <c r="CE523" s="43"/>
      <c r="CF523" s="43"/>
      <c r="CH523" s="43"/>
      <c r="CK523" s="43"/>
    </row>
    <row r="524" spans="2:89" x14ac:dyDescent="0.25">
      <c r="B524" s="157"/>
      <c r="C524" s="123"/>
      <c r="D524" s="143"/>
      <c r="E524" s="40"/>
      <c r="F524" s="43"/>
      <c r="G524" s="43"/>
      <c r="H524" s="176"/>
      <c r="I524" s="42"/>
      <c r="J524" s="42"/>
      <c r="K524" s="84"/>
      <c r="L524" s="45"/>
      <c r="M524" s="50"/>
      <c r="N524" s="42"/>
      <c r="O524" s="42"/>
      <c r="P524" s="42"/>
      <c r="Q524" s="42"/>
      <c r="R524" s="42"/>
      <c r="S524" s="42"/>
      <c r="T524" s="42"/>
      <c r="U524" s="178"/>
      <c r="V524" s="222"/>
      <c r="W524" s="48"/>
      <c r="X524" s="49"/>
      <c r="Y524" s="43"/>
      <c r="Z524" s="49"/>
      <c r="AA524" s="43"/>
      <c r="AB524" s="43"/>
      <c r="AC524" s="49"/>
      <c r="AE524" s="43"/>
      <c r="AF524" s="69"/>
      <c r="AG524" s="69"/>
      <c r="AH524" s="69"/>
      <c r="AI524" s="46"/>
      <c r="AJ524" s="139"/>
      <c r="AK524" s="138"/>
      <c r="AL524" s="175"/>
      <c r="AM524" s="74"/>
      <c r="AN524" s="74"/>
      <c r="AO524" s="74"/>
      <c r="AP524" s="74"/>
      <c r="AQ524" s="81"/>
      <c r="AR524" s="81"/>
      <c r="AS524" s="82"/>
      <c r="AT524" s="82"/>
      <c r="AU524" s="44"/>
      <c r="AV524" s="81"/>
      <c r="AW524" s="74"/>
      <c r="AX524" s="74"/>
      <c r="AY524" s="74"/>
      <c r="AZ524" s="83"/>
      <c r="BG524" s="43"/>
      <c r="BI524" s="43"/>
      <c r="BJ524" s="43"/>
      <c r="BK524" s="43"/>
      <c r="BL524" s="43"/>
      <c r="BM524" s="43"/>
      <c r="BO524" s="43"/>
      <c r="BR524" s="43"/>
      <c r="BS524" s="43"/>
      <c r="BW524" s="43"/>
      <c r="CC524" s="43"/>
      <c r="CE524" s="43"/>
      <c r="CF524" s="43"/>
      <c r="CH524" s="43"/>
      <c r="CK524" s="43"/>
    </row>
    <row r="525" spans="2:89" x14ac:dyDescent="0.25">
      <c r="B525" s="89"/>
      <c r="C525" s="123"/>
      <c r="D525" s="47"/>
      <c r="E525" s="40"/>
      <c r="F525" s="43"/>
      <c r="G525" s="43"/>
      <c r="H525" s="41"/>
      <c r="I525" s="42"/>
      <c r="J525" s="42"/>
      <c r="K525" s="84"/>
      <c r="L525" s="45"/>
      <c r="M525" s="50"/>
      <c r="N525" s="42"/>
      <c r="O525" s="42"/>
      <c r="P525" s="229"/>
      <c r="Q525" s="42"/>
      <c r="R525" s="42"/>
      <c r="S525" s="42"/>
      <c r="T525" s="42"/>
      <c r="U525" s="67"/>
      <c r="V525" s="220"/>
      <c r="W525" s="48"/>
      <c r="X525" s="49"/>
      <c r="Y525" s="43"/>
      <c r="Z525" s="49"/>
      <c r="AA525" s="43"/>
      <c r="AB525" s="43"/>
      <c r="AC525" s="49"/>
      <c r="AE525" s="43"/>
      <c r="AF525" s="69"/>
      <c r="AI525" s="46"/>
      <c r="AJ525" s="138"/>
      <c r="AK525" s="138"/>
      <c r="AL525" s="138"/>
      <c r="AM525" s="42"/>
      <c r="AO525" s="42"/>
      <c r="AQ525" s="43"/>
      <c r="AR525" s="43"/>
      <c r="AS525" s="44"/>
      <c r="AT525" s="44"/>
      <c r="AU525" s="44"/>
      <c r="AW525" s="42"/>
      <c r="AX525" s="42"/>
      <c r="AY525" s="45"/>
      <c r="AZ525" s="47"/>
      <c r="BG525" s="43"/>
      <c r="BI525" s="43"/>
      <c r="BJ525" s="43"/>
      <c r="BK525" s="43"/>
      <c r="BL525" s="43"/>
      <c r="BM525" s="43"/>
      <c r="BO525" s="43"/>
      <c r="BR525" s="43"/>
      <c r="BS525" s="43"/>
      <c r="BW525" s="43"/>
      <c r="CC525" s="43"/>
      <c r="CE525" s="43"/>
      <c r="CF525" s="43"/>
      <c r="CH525" s="43"/>
      <c r="CK525" s="43"/>
    </row>
    <row r="526" spans="2:89" x14ac:dyDescent="0.25">
      <c r="B526" s="89"/>
      <c r="C526" s="123"/>
      <c r="D526" s="47"/>
      <c r="E526" s="40"/>
      <c r="F526" s="43"/>
      <c r="G526" s="43"/>
      <c r="H526" s="41"/>
      <c r="I526" s="42"/>
      <c r="J526" s="42"/>
      <c r="K526" s="84"/>
      <c r="L526" s="45"/>
      <c r="M526" s="50"/>
      <c r="N526" s="42"/>
      <c r="O526" s="42"/>
      <c r="P526" s="229"/>
      <c r="Q526" s="42"/>
      <c r="R526" s="42"/>
      <c r="S526" s="42"/>
      <c r="T526" s="42"/>
      <c r="U526" s="67"/>
      <c r="V526" s="220"/>
      <c r="W526" s="48"/>
      <c r="X526" s="49"/>
      <c r="Y526" s="43"/>
      <c r="Z526" s="49"/>
      <c r="AA526" s="43"/>
      <c r="AB526" s="43"/>
      <c r="AC526" s="49"/>
      <c r="AE526" s="43"/>
      <c r="AF526" s="69"/>
      <c r="AI526" s="46"/>
      <c r="AJ526" s="138"/>
      <c r="AK526" s="138"/>
      <c r="AL526" s="138"/>
      <c r="AM526" s="42"/>
      <c r="AO526" s="42"/>
      <c r="AQ526" s="43"/>
      <c r="AR526" s="43"/>
      <c r="AS526" s="44"/>
      <c r="AT526" s="44"/>
      <c r="AU526" s="44"/>
      <c r="AW526" s="42"/>
      <c r="AX526" s="42"/>
      <c r="AY526" s="45"/>
      <c r="AZ526" s="47"/>
      <c r="BG526" s="43"/>
      <c r="BI526" s="43"/>
      <c r="BJ526" s="43"/>
      <c r="BK526" s="43"/>
      <c r="BL526" s="43"/>
      <c r="BM526" s="43"/>
      <c r="BO526" s="43"/>
      <c r="BR526" s="43"/>
      <c r="BS526" s="43"/>
      <c r="BW526" s="43"/>
      <c r="CC526" s="43"/>
      <c r="CE526" s="43"/>
      <c r="CF526" s="43"/>
      <c r="CH526" s="43"/>
      <c r="CK526" s="43"/>
    </row>
    <row r="527" spans="2:89" x14ac:dyDescent="0.25">
      <c r="B527" s="89"/>
      <c r="C527" s="123"/>
      <c r="D527" s="47"/>
      <c r="E527" s="40"/>
      <c r="F527" s="43"/>
      <c r="G527" s="43"/>
      <c r="H527" s="41"/>
      <c r="I527" s="42"/>
      <c r="J527" s="42"/>
      <c r="K527" s="84"/>
      <c r="L527" s="45"/>
      <c r="M527" s="50"/>
      <c r="N527" s="42"/>
      <c r="O527" s="42"/>
      <c r="P527" s="223"/>
      <c r="Q527" s="42"/>
      <c r="R527" s="42"/>
      <c r="S527" s="42"/>
      <c r="T527" s="42"/>
      <c r="U527" s="67"/>
      <c r="V527" s="220"/>
      <c r="W527" s="48"/>
      <c r="X527" s="49"/>
      <c r="Y527" s="43"/>
      <c r="Z527" s="49"/>
      <c r="AA527" s="43"/>
      <c r="AB527" s="43"/>
      <c r="AC527" s="49"/>
      <c r="AE527" s="43"/>
      <c r="AF527" s="69"/>
      <c r="AI527" s="46"/>
      <c r="AJ527" s="138"/>
      <c r="AK527" s="138"/>
      <c r="AL527" s="138"/>
      <c r="AM527" s="42"/>
      <c r="AO527" s="42"/>
      <c r="AQ527" s="43"/>
      <c r="AR527" s="43"/>
      <c r="AS527" s="44"/>
      <c r="AT527" s="44"/>
      <c r="AU527" s="44"/>
      <c r="AW527" s="42"/>
      <c r="AX527" s="42"/>
      <c r="AY527" s="45"/>
      <c r="AZ527" s="47"/>
      <c r="BG527" s="43"/>
      <c r="BI527" s="43"/>
      <c r="BJ527" s="43"/>
      <c r="BK527" s="43"/>
      <c r="BL527" s="43"/>
      <c r="BM527" s="43"/>
      <c r="BO527" s="43"/>
      <c r="BR527" s="43"/>
      <c r="BS527" s="43"/>
      <c r="BW527" s="43"/>
      <c r="CC527" s="43"/>
      <c r="CE527" s="43"/>
      <c r="CF527" s="43"/>
      <c r="CH527" s="43"/>
      <c r="CK527" s="43"/>
    </row>
    <row r="528" spans="2:89" x14ac:dyDescent="0.25">
      <c r="B528" s="89"/>
      <c r="C528" s="123"/>
      <c r="D528" s="47"/>
      <c r="E528" s="40"/>
      <c r="F528" s="43"/>
      <c r="G528" s="43"/>
      <c r="H528" s="41"/>
      <c r="I528" s="42"/>
      <c r="J528" s="42"/>
      <c r="K528" s="84"/>
      <c r="L528" s="45"/>
      <c r="M528" s="50"/>
      <c r="N528" s="42"/>
      <c r="O528" s="42"/>
      <c r="P528" s="223"/>
      <c r="Q528" s="42"/>
      <c r="R528" s="42"/>
      <c r="S528" s="42"/>
      <c r="T528" s="42"/>
      <c r="U528" s="67"/>
      <c r="V528" s="220"/>
      <c r="W528" s="48"/>
      <c r="X528" s="49"/>
      <c r="Y528" s="43"/>
      <c r="Z528" s="49"/>
      <c r="AA528" s="43"/>
      <c r="AB528" s="43"/>
      <c r="AC528" s="49"/>
      <c r="AE528" s="43"/>
      <c r="AF528" s="69"/>
      <c r="AI528" s="46"/>
      <c r="AJ528" s="138"/>
      <c r="AK528" s="138"/>
      <c r="AL528" s="138"/>
      <c r="AM528" s="42"/>
      <c r="AO528" s="42"/>
      <c r="AQ528" s="43"/>
      <c r="AR528" s="43"/>
      <c r="AS528" s="44"/>
      <c r="AT528" s="44"/>
      <c r="AU528" s="44"/>
      <c r="AW528" s="42"/>
      <c r="AX528" s="42"/>
      <c r="AY528" s="45"/>
      <c r="AZ528" s="47"/>
      <c r="BG528" s="43"/>
      <c r="BI528" s="43"/>
      <c r="BJ528" s="43"/>
      <c r="BK528" s="43"/>
      <c r="BL528" s="43"/>
      <c r="BM528" s="43"/>
      <c r="BO528" s="43"/>
      <c r="BR528" s="43"/>
      <c r="BS528" s="43"/>
      <c r="BW528" s="43"/>
      <c r="CC528" s="43"/>
      <c r="CE528" s="43"/>
      <c r="CF528" s="43"/>
      <c r="CH528" s="43"/>
      <c r="CK528" s="43"/>
    </row>
    <row r="529" spans="2:89" x14ac:dyDescent="0.25">
      <c r="B529" s="89"/>
      <c r="C529" s="123"/>
      <c r="D529" s="47"/>
      <c r="E529" s="40"/>
      <c r="F529" s="43"/>
      <c r="G529" s="43"/>
      <c r="H529" s="41"/>
      <c r="I529" s="42"/>
      <c r="J529" s="42"/>
      <c r="K529" s="84"/>
      <c r="L529" s="45"/>
      <c r="M529" s="50"/>
      <c r="N529" s="42"/>
      <c r="O529" s="42"/>
      <c r="P529" s="223"/>
      <c r="Q529" s="42"/>
      <c r="R529" s="42"/>
      <c r="S529" s="42"/>
      <c r="T529" s="42"/>
      <c r="U529" s="67"/>
      <c r="V529" s="220"/>
      <c r="W529" s="48"/>
      <c r="X529" s="49"/>
      <c r="Y529" s="43"/>
      <c r="Z529" s="49"/>
      <c r="AA529" s="43"/>
      <c r="AB529" s="43"/>
      <c r="AC529" s="49"/>
      <c r="AE529" s="43"/>
      <c r="AF529" s="69"/>
      <c r="AI529" s="46"/>
      <c r="AJ529" s="138"/>
      <c r="AK529" s="138"/>
      <c r="AL529" s="138"/>
      <c r="AM529" s="42"/>
      <c r="AO529" s="42"/>
      <c r="AQ529" s="43"/>
      <c r="AR529" s="43"/>
      <c r="AS529" s="44"/>
      <c r="AT529" s="44"/>
      <c r="AU529" s="44"/>
      <c r="AW529" s="42"/>
      <c r="AX529" s="42"/>
      <c r="AY529" s="45"/>
      <c r="AZ529" s="47"/>
      <c r="BG529" s="43"/>
      <c r="BI529" s="43"/>
      <c r="BJ529" s="43"/>
      <c r="BK529" s="43"/>
      <c r="BL529" s="43"/>
      <c r="BM529" s="43"/>
      <c r="BO529" s="43"/>
      <c r="BR529" s="43"/>
      <c r="BS529" s="43"/>
      <c r="BW529" s="43"/>
      <c r="CC529" s="43"/>
      <c r="CE529" s="43"/>
      <c r="CF529" s="43"/>
      <c r="CH529" s="43"/>
      <c r="CK529" s="43"/>
    </row>
    <row r="530" spans="2:89" x14ac:dyDescent="0.25">
      <c r="B530" s="89"/>
      <c r="C530" s="123"/>
      <c r="D530" s="47"/>
      <c r="E530" s="40"/>
      <c r="F530" s="43"/>
      <c r="G530" s="43"/>
      <c r="H530" s="41"/>
      <c r="I530" s="42"/>
      <c r="J530" s="42"/>
      <c r="K530" s="84"/>
      <c r="L530" s="45"/>
      <c r="M530" s="50"/>
      <c r="N530" s="42"/>
      <c r="O530" s="42"/>
      <c r="P530" s="223"/>
      <c r="Q530" s="42"/>
      <c r="R530" s="42"/>
      <c r="S530" s="42"/>
      <c r="T530" s="42"/>
      <c r="U530" s="67"/>
      <c r="V530" s="220"/>
      <c r="W530" s="48"/>
      <c r="X530" s="49"/>
      <c r="Y530" s="43"/>
      <c r="Z530" s="49"/>
      <c r="AA530" s="43"/>
      <c r="AB530" s="43"/>
      <c r="AC530" s="49"/>
      <c r="AE530" s="43"/>
      <c r="AF530" s="69"/>
      <c r="AI530" s="46"/>
      <c r="AJ530" s="138"/>
      <c r="AK530" s="138"/>
      <c r="AL530" s="138"/>
      <c r="AM530" s="42"/>
      <c r="AO530" s="42"/>
      <c r="AQ530" s="43"/>
      <c r="AR530" s="43"/>
      <c r="AS530" s="44"/>
      <c r="AT530" s="44"/>
      <c r="AU530" s="44"/>
      <c r="AW530" s="42"/>
      <c r="AX530" s="42"/>
      <c r="AY530" s="45"/>
      <c r="AZ530" s="47"/>
      <c r="BG530" s="43"/>
      <c r="BI530" s="43"/>
      <c r="BJ530" s="43"/>
      <c r="BK530" s="43"/>
      <c r="BL530" s="43"/>
      <c r="BM530" s="43"/>
      <c r="BO530" s="43"/>
      <c r="BR530" s="43"/>
      <c r="BS530" s="43"/>
      <c r="BW530" s="43"/>
      <c r="CC530" s="43"/>
      <c r="CE530" s="43"/>
      <c r="CF530" s="43"/>
      <c r="CH530" s="43"/>
      <c r="CK530" s="43"/>
    </row>
    <row r="531" spans="2:89" ht="15.75" customHeight="1" x14ac:dyDescent="0.25">
      <c r="B531" s="89"/>
      <c r="C531" s="123"/>
      <c r="D531" s="47"/>
      <c r="E531" s="40"/>
      <c r="F531" s="43"/>
      <c r="G531" s="43"/>
      <c r="H531" s="41"/>
      <c r="I531" s="42"/>
      <c r="J531" s="42"/>
      <c r="K531" s="84"/>
      <c r="L531" s="45"/>
      <c r="M531" s="50"/>
      <c r="N531" s="42"/>
      <c r="O531" s="42"/>
      <c r="P531" s="223"/>
      <c r="Q531" s="42"/>
      <c r="R531" s="42"/>
      <c r="S531" s="42"/>
      <c r="T531" s="42"/>
      <c r="U531" s="67"/>
      <c r="V531" s="220"/>
      <c r="W531" s="48"/>
      <c r="X531" s="49"/>
      <c r="Y531" s="43"/>
      <c r="Z531" s="49"/>
      <c r="AA531" s="43"/>
      <c r="AB531" s="43"/>
      <c r="AC531" s="49"/>
      <c r="AE531" s="43"/>
      <c r="AF531" s="69"/>
      <c r="AI531" s="46"/>
      <c r="AJ531" s="138"/>
      <c r="AK531" s="138"/>
      <c r="AL531" s="138"/>
      <c r="AM531" s="42"/>
      <c r="AO531" s="42"/>
      <c r="AQ531" s="43"/>
      <c r="AR531" s="43"/>
      <c r="AS531" s="44"/>
      <c r="AT531" s="44"/>
      <c r="AU531" s="44"/>
      <c r="AW531" s="42"/>
      <c r="AX531" s="42"/>
      <c r="AY531" s="45"/>
      <c r="AZ531" s="47"/>
      <c r="BG531" s="43"/>
      <c r="BI531" s="43"/>
      <c r="BJ531" s="43"/>
      <c r="BK531" s="43"/>
      <c r="BL531" s="43"/>
      <c r="BM531" s="43"/>
      <c r="BO531" s="43"/>
      <c r="BR531" s="43"/>
      <c r="BS531" s="43"/>
      <c r="BW531" s="43"/>
      <c r="CC531" s="43"/>
      <c r="CE531" s="43"/>
      <c r="CF531" s="43"/>
      <c r="CH531" s="43"/>
      <c r="CK531" s="43"/>
    </row>
    <row r="532" spans="2:89" x14ac:dyDescent="0.25">
      <c r="B532" s="89"/>
      <c r="C532" s="123"/>
      <c r="D532" s="47"/>
      <c r="E532" s="40"/>
      <c r="F532" s="43"/>
      <c r="G532" s="43"/>
      <c r="H532" s="41"/>
      <c r="I532" s="42"/>
      <c r="J532" s="42"/>
      <c r="K532" s="84"/>
      <c r="L532" s="45"/>
      <c r="M532" s="50"/>
      <c r="N532" s="42"/>
      <c r="O532" s="42"/>
      <c r="P532" s="223"/>
      <c r="Q532" s="42"/>
      <c r="R532" s="42"/>
      <c r="S532" s="42"/>
      <c r="T532" s="42"/>
      <c r="U532" s="67"/>
      <c r="V532" s="220"/>
      <c r="W532" s="48"/>
      <c r="X532" s="49"/>
      <c r="Y532" s="43"/>
      <c r="Z532" s="49"/>
      <c r="AA532" s="43"/>
      <c r="AB532" s="43"/>
      <c r="AC532" s="49"/>
      <c r="AE532" s="43"/>
      <c r="AF532" s="69"/>
      <c r="AI532" s="46"/>
      <c r="AJ532" s="138"/>
      <c r="AK532" s="138"/>
      <c r="AL532" s="138"/>
      <c r="AM532" s="42"/>
      <c r="AO532" s="42"/>
      <c r="AQ532" s="43"/>
      <c r="AR532" s="43"/>
      <c r="AS532" s="44"/>
      <c r="AT532" s="44"/>
      <c r="AU532" s="44"/>
      <c r="AW532" s="42"/>
      <c r="AX532" s="42"/>
      <c r="AY532" s="45"/>
      <c r="AZ532" s="47"/>
      <c r="BG532" s="43"/>
      <c r="BI532" s="43"/>
      <c r="BJ532" s="43"/>
      <c r="BK532" s="43"/>
      <c r="BL532" s="43"/>
      <c r="BM532" s="43"/>
      <c r="BO532" s="43"/>
      <c r="BR532" s="43"/>
      <c r="BS532" s="43"/>
      <c r="BW532" s="43"/>
      <c r="CC532" s="43"/>
      <c r="CE532" s="43"/>
      <c r="CF532" s="43"/>
      <c r="CH532" s="43"/>
      <c r="CK532" s="43"/>
    </row>
    <row r="533" spans="2:89" ht="15.75" customHeight="1" x14ac:dyDescent="0.25">
      <c r="B533" s="89"/>
      <c r="C533" s="123"/>
      <c r="D533" s="47"/>
      <c r="E533" s="40"/>
      <c r="F533" s="43"/>
      <c r="G533" s="43"/>
      <c r="H533" s="41"/>
      <c r="I533" s="42"/>
      <c r="J533" s="42"/>
      <c r="K533" s="84"/>
      <c r="L533" s="45"/>
      <c r="M533" s="50"/>
      <c r="N533" s="42"/>
      <c r="O533" s="42"/>
      <c r="P533" s="229"/>
      <c r="Q533" s="42"/>
      <c r="R533" s="42"/>
      <c r="S533" s="42"/>
      <c r="T533" s="42"/>
      <c r="U533" s="67"/>
      <c r="V533" s="220"/>
      <c r="W533" s="48"/>
      <c r="X533" s="49"/>
      <c r="Y533" s="43"/>
      <c r="Z533" s="49"/>
      <c r="AA533" s="43"/>
      <c r="AB533" s="43"/>
      <c r="AC533" s="49"/>
      <c r="AE533" s="43"/>
      <c r="AF533" s="69"/>
      <c r="AI533" s="46"/>
      <c r="AJ533" s="138"/>
      <c r="AK533" s="138"/>
      <c r="AL533" s="138"/>
      <c r="AM533" s="42"/>
      <c r="AO533" s="42"/>
      <c r="AQ533" s="43"/>
      <c r="AR533" s="43"/>
      <c r="AS533" s="44"/>
      <c r="AT533" s="44"/>
      <c r="AU533" s="44"/>
      <c r="AW533" s="42"/>
      <c r="AX533" s="42"/>
      <c r="AY533" s="45"/>
      <c r="AZ533" s="47"/>
      <c r="BG533" s="43"/>
      <c r="BI533" s="43"/>
      <c r="BJ533" s="43"/>
      <c r="BK533" s="43"/>
      <c r="BL533" s="43"/>
      <c r="BM533" s="43"/>
      <c r="BO533" s="43"/>
      <c r="BR533" s="43"/>
      <c r="BS533" s="43"/>
      <c r="BW533" s="43"/>
      <c r="CC533" s="43"/>
      <c r="CE533" s="43"/>
      <c r="CF533" s="43"/>
      <c r="CH533" s="43"/>
      <c r="CK533" s="43"/>
    </row>
    <row r="534" spans="2:89" ht="15.75" customHeight="1" x14ac:dyDescent="0.25">
      <c r="B534" s="89"/>
      <c r="C534" s="123"/>
      <c r="D534" s="47"/>
      <c r="E534" s="40"/>
      <c r="F534" s="43"/>
      <c r="G534" s="43"/>
      <c r="H534" s="41"/>
      <c r="I534" s="42"/>
      <c r="J534" s="42"/>
      <c r="K534" s="84"/>
      <c r="L534" s="45"/>
      <c r="M534" s="50"/>
      <c r="N534" s="42"/>
      <c r="O534" s="42"/>
      <c r="P534" s="42"/>
      <c r="Q534" s="42"/>
      <c r="R534" s="42"/>
      <c r="S534" s="42"/>
      <c r="T534" s="42"/>
      <c r="U534" s="67"/>
      <c r="V534" s="220"/>
      <c r="W534" s="48"/>
      <c r="X534" s="49"/>
      <c r="Y534" s="43"/>
      <c r="Z534" s="49"/>
      <c r="AA534" s="43"/>
      <c r="AB534" s="43"/>
      <c r="AC534" s="49"/>
      <c r="AE534" s="43"/>
      <c r="AF534" s="69"/>
      <c r="AI534" s="46"/>
      <c r="AJ534" s="138"/>
      <c r="AK534" s="138"/>
      <c r="AL534" s="138"/>
      <c r="AM534" s="42"/>
      <c r="AO534" s="42"/>
      <c r="AQ534" s="43"/>
      <c r="AR534" s="43"/>
      <c r="AS534" s="44"/>
      <c r="AT534" s="44"/>
      <c r="AU534" s="44"/>
      <c r="AW534" s="42"/>
      <c r="AX534" s="42"/>
      <c r="AY534" s="45"/>
      <c r="AZ534" s="47"/>
      <c r="BG534" s="43"/>
      <c r="BI534" s="43"/>
      <c r="BJ534" s="43"/>
      <c r="BK534" s="43"/>
      <c r="BL534" s="43"/>
      <c r="BM534" s="43"/>
      <c r="BO534" s="43"/>
      <c r="BR534" s="43"/>
      <c r="BS534" s="43"/>
      <c r="BW534" s="43"/>
      <c r="CC534" s="43"/>
      <c r="CE534" s="43"/>
      <c r="CF534" s="43"/>
      <c r="CH534" s="43"/>
      <c r="CK534" s="43"/>
    </row>
    <row r="535" spans="2:89" ht="15.75" customHeight="1" x14ac:dyDescent="0.25">
      <c r="B535" s="89"/>
      <c r="C535" s="123"/>
      <c r="D535" s="47"/>
      <c r="E535" s="40"/>
      <c r="F535" s="43"/>
      <c r="G535" s="43"/>
      <c r="H535" s="41"/>
      <c r="I535" s="42"/>
      <c r="J535" s="42"/>
      <c r="K535" s="84"/>
      <c r="L535" s="45"/>
      <c r="M535" s="50"/>
      <c r="N535" s="42"/>
      <c r="O535" s="42"/>
      <c r="P535" s="229"/>
      <c r="Q535" s="42"/>
      <c r="R535" s="42"/>
      <c r="S535" s="42"/>
      <c r="T535" s="42"/>
      <c r="U535" s="67"/>
      <c r="V535" s="220"/>
      <c r="W535" s="48"/>
      <c r="X535" s="49"/>
      <c r="Y535" s="43"/>
      <c r="Z535" s="49"/>
      <c r="AA535" s="43"/>
      <c r="AB535" s="43"/>
      <c r="AC535" s="49"/>
      <c r="AE535" s="43"/>
      <c r="AF535" s="69"/>
      <c r="AI535" s="46"/>
      <c r="AJ535" s="138"/>
      <c r="AK535" s="138"/>
      <c r="AL535" s="138"/>
      <c r="AM535" s="42"/>
      <c r="AO535" s="42"/>
      <c r="AQ535" s="43"/>
      <c r="AR535" s="43"/>
      <c r="AS535" s="44"/>
      <c r="AT535" s="44"/>
      <c r="AU535" s="44"/>
      <c r="AW535" s="42"/>
      <c r="AX535" s="42"/>
      <c r="AY535" s="45"/>
      <c r="AZ535" s="47"/>
      <c r="BG535" s="43"/>
      <c r="BI535" s="43"/>
      <c r="BJ535" s="43"/>
      <c r="BK535" s="43"/>
      <c r="BL535" s="43"/>
      <c r="BM535" s="43"/>
      <c r="BO535" s="43"/>
      <c r="BR535" s="43"/>
      <c r="BS535" s="43"/>
      <c r="BW535" s="43"/>
      <c r="CC535" s="43"/>
      <c r="CE535" s="43"/>
      <c r="CF535" s="43"/>
      <c r="CH535" s="43"/>
      <c r="CK535" s="43"/>
    </row>
    <row r="536" spans="2:89" x14ac:dyDescent="0.25">
      <c r="B536" s="89"/>
      <c r="C536" s="123"/>
      <c r="D536" s="47"/>
      <c r="E536" s="40"/>
      <c r="F536" s="43"/>
      <c r="G536" s="43"/>
      <c r="H536" s="41"/>
      <c r="I536" s="42"/>
      <c r="J536" s="42"/>
      <c r="K536" s="84"/>
      <c r="L536" s="45"/>
      <c r="M536" s="50"/>
      <c r="N536" s="42"/>
      <c r="O536" s="42"/>
      <c r="P536" s="223"/>
      <c r="Q536" s="42"/>
      <c r="R536" s="42"/>
      <c r="S536" s="42"/>
      <c r="T536" s="42"/>
      <c r="U536" s="67"/>
      <c r="V536" s="220"/>
      <c r="W536" s="48"/>
      <c r="X536" s="49"/>
      <c r="Y536" s="43"/>
      <c r="Z536" s="49"/>
      <c r="AA536" s="43"/>
      <c r="AB536" s="43"/>
      <c r="AC536" s="49"/>
      <c r="AE536" s="43"/>
      <c r="AF536" s="69"/>
      <c r="AI536" s="46"/>
      <c r="AJ536" s="138"/>
      <c r="AK536" s="138"/>
      <c r="AL536" s="138"/>
      <c r="AM536" s="42"/>
      <c r="AO536" s="42"/>
      <c r="AQ536" s="43"/>
      <c r="AR536" s="43"/>
      <c r="AS536" s="44"/>
      <c r="AT536" s="44"/>
      <c r="AU536" s="44"/>
      <c r="AW536" s="42"/>
      <c r="AX536" s="42"/>
      <c r="AY536" s="45"/>
      <c r="AZ536" s="47"/>
      <c r="BG536" s="43"/>
      <c r="BI536" s="43"/>
      <c r="BJ536" s="43"/>
      <c r="BK536" s="43"/>
      <c r="BL536" s="43"/>
      <c r="BM536" s="43"/>
      <c r="BO536" s="43"/>
      <c r="BR536" s="43"/>
      <c r="BS536" s="43"/>
      <c r="BW536" s="43"/>
      <c r="CC536" s="43"/>
      <c r="CE536" s="43"/>
      <c r="CF536" s="43"/>
      <c r="CH536" s="43"/>
      <c r="CK536" s="43"/>
    </row>
    <row r="537" spans="2:89" x14ac:dyDescent="0.25">
      <c r="B537" s="89"/>
      <c r="C537" s="123"/>
      <c r="D537" s="47"/>
      <c r="E537" s="40"/>
      <c r="F537" s="43"/>
      <c r="G537" s="43"/>
      <c r="H537" s="41"/>
      <c r="I537" s="42"/>
      <c r="J537" s="42"/>
      <c r="K537" s="84"/>
      <c r="L537" s="45"/>
      <c r="M537" s="50"/>
      <c r="N537" s="42"/>
      <c r="O537" s="42"/>
      <c r="P537" s="223"/>
      <c r="Q537" s="42"/>
      <c r="R537" s="42"/>
      <c r="S537" s="42"/>
      <c r="T537" s="42"/>
      <c r="U537" s="67"/>
      <c r="V537" s="220"/>
      <c r="W537" s="48"/>
      <c r="X537" s="49"/>
      <c r="Y537" s="43"/>
      <c r="Z537" s="49"/>
      <c r="AA537" s="43"/>
      <c r="AB537" s="43"/>
      <c r="AC537" s="49"/>
      <c r="AE537" s="43"/>
      <c r="AF537" s="69"/>
      <c r="AI537" s="46"/>
      <c r="AJ537" s="138"/>
      <c r="AK537" s="138"/>
      <c r="AL537" s="138"/>
      <c r="AM537" s="42"/>
      <c r="AO537" s="42"/>
      <c r="AQ537" s="43"/>
      <c r="AR537" s="43"/>
      <c r="AS537" s="44"/>
      <c r="AT537" s="44"/>
      <c r="AU537" s="44"/>
      <c r="AW537" s="42"/>
      <c r="AX537" s="42"/>
      <c r="AY537" s="45"/>
      <c r="AZ537" s="47"/>
      <c r="BG537" s="43"/>
      <c r="BI537" s="43"/>
      <c r="BJ537" s="43"/>
      <c r="BK537" s="43"/>
      <c r="BL537" s="43"/>
      <c r="BM537" s="43"/>
      <c r="BO537" s="43"/>
      <c r="BR537" s="43"/>
      <c r="BS537" s="43"/>
      <c r="BW537" s="43"/>
      <c r="CC537" s="43"/>
      <c r="CE537" s="43"/>
      <c r="CF537" s="43"/>
      <c r="CH537" s="43"/>
      <c r="CK537" s="43"/>
    </row>
    <row r="538" spans="2:89" x14ac:dyDescent="0.25">
      <c r="B538" s="89"/>
      <c r="C538" s="123"/>
      <c r="D538" s="47"/>
      <c r="E538" s="40"/>
      <c r="F538" s="43"/>
      <c r="G538" s="43"/>
      <c r="H538" s="41"/>
      <c r="I538" s="42"/>
      <c r="J538" s="42"/>
      <c r="K538" s="84"/>
      <c r="L538" s="45"/>
      <c r="M538" s="50"/>
      <c r="N538" s="42"/>
      <c r="O538" s="42"/>
      <c r="P538" s="229"/>
      <c r="Q538" s="42"/>
      <c r="R538" s="42"/>
      <c r="S538" s="42"/>
      <c r="T538" s="42"/>
      <c r="U538" s="67"/>
      <c r="V538" s="220"/>
      <c r="W538" s="48"/>
      <c r="X538" s="49"/>
      <c r="Y538" s="43"/>
      <c r="Z538" s="49"/>
      <c r="AA538" s="43"/>
      <c r="AB538" s="43"/>
      <c r="AC538" s="49"/>
      <c r="AE538" s="43"/>
      <c r="AF538" s="69"/>
      <c r="AI538" s="46"/>
      <c r="AJ538" s="138"/>
      <c r="AK538" s="138"/>
      <c r="AL538" s="138"/>
      <c r="AM538" s="42"/>
      <c r="AO538" s="42"/>
      <c r="AQ538" s="43"/>
      <c r="AR538" s="43"/>
      <c r="AS538" s="44"/>
      <c r="AT538" s="44"/>
      <c r="AU538" s="44"/>
      <c r="AW538" s="42"/>
      <c r="AX538" s="42"/>
      <c r="AY538" s="45"/>
      <c r="AZ538" s="47"/>
      <c r="BG538" s="43"/>
      <c r="BI538" s="43"/>
      <c r="BJ538" s="43"/>
      <c r="BK538" s="43"/>
      <c r="BL538" s="43"/>
      <c r="BM538" s="43"/>
      <c r="BO538" s="43"/>
      <c r="BR538" s="43"/>
      <c r="BS538" s="43"/>
      <c r="BW538" s="43"/>
      <c r="CC538" s="43"/>
      <c r="CE538" s="43"/>
      <c r="CF538" s="43"/>
      <c r="CH538" s="43"/>
      <c r="CK538" s="43"/>
    </row>
    <row r="539" spans="2:89" x14ac:dyDescent="0.25">
      <c r="B539" s="89"/>
      <c r="C539" s="123"/>
      <c r="D539" s="47"/>
      <c r="E539" s="40"/>
      <c r="F539" s="43"/>
      <c r="G539" s="43"/>
      <c r="H539" s="41"/>
      <c r="I539" s="42"/>
      <c r="J539" s="42"/>
      <c r="K539" s="84"/>
      <c r="L539" s="45"/>
      <c r="M539" s="50"/>
      <c r="N539" s="42"/>
      <c r="O539" s="42"/>
      <c r="P539" s="229"/>
      <c r="Q539" s="42"/>
      <c r="R539" s="42"/>
      <c r="S539" s="42"/>
      <c r="T539" s="42"/>
      <c r="U539" s="67"/>
      <c r="V539" s="220"/>
      <c r="W539" s="48"/>
      <c r="X539" s="49"/>
      <c r="Y539" s="43"/>
      <c r="Z539" s="49"/>
      <c r="AA539" s="43"/>
      <c r="AB539" s="43"/>
      <c r="AC539" s="49"/>
      <c r="AE539" s="43"/>
      <c r="AF539" s="69"/>
      <c r="AI539" s="46"/>
      <c r="AJ539" s="138"/>
      <c r="AK539" s="138"/>
      <c r="AL539" s="138"/>
      <c r="AM539" s="42"/>
      <c r="AO539" s="42"/>
      <c r="AQ539" s="43"/>
      <c r="AR539" s="43"/>
      <c r="AS539" s="44"/>
      <c r="AT539" s="44"/>
      <c r="AU539" s="44"/>
      <c r="AW539" s="42"/>
      <c r="AX539" s="42"/>
      <c r="AY539" s="45"/>
      <c r="AZ539" s="47"/>
      <c r="BG539" s="43"/>
      <c r="BI539" s="43"/>
      <c r="BJ539" s="43"/>
      <c r="BK539" s="43"/>
      <c r="BL539" s="43"/>
      <c r="BM539" s="43"/>
      <c r="BO539" s="43"/>
      <c r="BR539" s="43"/>
      <c r="BS539" s="43"/>
      <c r="BW539" s="43"/>
      <c r="CC539" s="43"/>
      <c r="CE539" s="43"/>
      <c r="CF539" s="43"/>
      <c r="CH539" s="43"/>
      <c r="CK539" s="43"/>
    </row>
    <row r="540" spans="2:89" x14ac:dyDescent="0.25">
      <c r="B540" s="89"/>
      <c r="C540" s="123"/>
      <c r="D540" s="47"/>
      <c r="E540" s="40"/>
      <c r="F540" s="43"/>
      <c r="G540" s="43"/>
      <c r="H540" s="41"/>
      <c r="I540" s="42"/>
      <c r="J540" s="42"/>
      <c r="K540" s="84"/>
      <c r="L540" s="45"/>
      <c r="M540" s="50"/>
      <c r="N540" s="42"/>
      <c r="O540" s="42"/>
      <c r="P540" s="229"/>
      <c r="Q540" s="42"/>
      <c r="R540" s="42"/>
      <c r="S540" s="42"/>
      <c r="T540" s="42"/>
      <c r="U540" s="67"/>
      <c r="V540" s="220"/>
      <c r="W540" s="48"/>
      <c r="X540" s="49"/>
      <c r="Y540" s="43"/>
      <c r="Z540" s="49"/>
      <c r="AA540" s="43"/>
      <c r="AB540" s="43"/>
      <c r="AC540" s="49"/>
      <c r="AE540" s="43"/>
      <c r="AF540" s="69"/>
      <c r="AI540" s="46"/>
      <c r="AJ540" s="138"/>
      <c r="AK540" s="138"/>
      <c r="AL540" s="138"/>
      <c r="AM540" s="42"/>
      <c r="AO540" s="42"/>
      <c r="AQ540" s="43"/>
      <c r="AR540" s="43"/>
      <c r="AS540" s="44"/>
      <c r="AT540" s="44"/>
      <c r="AU540" s="44"/>
      <c r="AW540" s="42"/>
      <c r="AX540" s="42"/>
      <c r="AY540" s="45"/>
      <c r="AZ540" s="47"/>
      <c r="BG540" s="43"/>
      <c r="BI540" s="43"/>
      <c r="BJ540" s="43"/>
      <c r="BK540" s="43"/>
      <c r="BL540" s="43"/>
      <c r="BM540" s="43"/>
      <c r="BO540" s="43"/>
      <c r="BR540" s="43"/>
      <c r="BS540" s="43"/>
      <c r="BW540" s="43"/>
      <c r="CC540" s="43"/>
      <c r="CE540" s="43"/>
      <c r="CF540" s="43"/>
      <c r="CH540" s="43"/>
      <c r="CK540" s="43"/>
    </row>
    <row r="541" spans="2:89" x14ac:dyDescent="0.25">
      <c r="B541" s="89"/>
      <c r="C541" s="123"/>
      <c r="D541" s="47"/>
      <c r="E541" s="40"/>
      <c r="F541" s="43"/>
      <c r="G541" s="43"/>
      <c r="H541" s="41"/>
      <c r="I541" s="42"/>
      <c r="J541" s="42"/>
      <c r="K541" s="84"/>
      <c r="L541" s="45"/>
      <c r="M541" s="50"/>
      <c r="N541" s="42"/>
      <c r="O541" s="42"/>
      <c r="P541" s="229"/>
      <c r="Q541" s="42"/>
      <c r="R541" s="42"/>
      <c r="S541" s="42"/>
      <c r="T541" s="42"/>
      <c r="U541" s="67"/>
      <c r="V541" s="220"/>
      <c r="W541" s="48"/>
      <c r="X541" s="49"/>
      <c r="Y541" s="43"/>
      <c r="Z541" s="49"/>
      <c r="AA541" s="43"/>
      <c r="AB541" s="43"/>
      <c r="AC541" s="49"/>
      <c r="AE541" s="43"/>
      <c r="AF541" s="69"/>
      <c r="AI541" s="46"/>
      <c r="AJ541" s="138"/>
      <c r="AK541" s="138"/>
      <c r="AL541" s="138"/>
      <c r="AM541" s="42"/>
      <c r="AO541" s="42"/>
      <c r="AQ541" s="43"/>
      <c r="AR541" s="43"/>
      <c r="AS541" s="44"/>
      <c r="AT541" s="44"/>
      <c r="AU541" s="44"/>
      <c r="AW541" s="42"/>
      <c r="AX541" s="42"/>
      <c r="AY541" s="45"/>
      <c r="AZ541" s="47"/>
      <c r="BG541" s="43"/>
      <c r="BI541" s="43"/>
      <c r="BJ541" s="43"/>
      <c r="BK541" s="43"/>
      <c r="BL541" s="43"/>
      <c r="BM541" s="43"/>
      <c r="BO541" s="43"/>
      <c r="BR541" s="43"/>
      <c r="BS541" s="43"/>
      <c r="BW541" s="43"/>
      <c r="CC541" s="43"/>
      <c r="CE541" s="43"/>
      <c r="CF541" s="43"/>
      <c r="CH541" s="43"/>
      <c r="CK541" s="43"/>
    </row>
    <row r="542" spans="2:89" x14ac:dyDescent="0.25">
      <c r="B542" s="89"/>
      <c r="C542" s="123"/>
      <c r="D542" s="47"/>
      <c r="E542" s="40"/>
      <c r="F542" s="43"/>
      <c r="G542" s="43"/>
      <c r="H542" s="41"/>
      <c r="I542" s="42"/>
      <c r="J542" s="42"/>
      <c r="K542" s="84"/>
      <c r="L542" s="45"/>
      <c r="M542" s="50"/>
      <c r="N542" s="42"/>
      <c r="O542" s="42"/>
      <c r="P542" s="229"/>
      <c r="Q542" s="42"/>
      <c r="R542" s="42"/>
      <c r="S542" s="42"/>
      <c r="T542" s="42"/>
      <c r="U542" s="67"/>
      <c r="V542" s="220"/>
      <c r="W542" s="48"/>
      <c r="X542" s="49"/>
      <c r="Y542" s="43"/>
      <c r="Z542" s="49"/>
      <c r="AA542" s="43"/>
      <c r="AB542" s="43"/>
      <c r="AC542" s="49"/>
      <c r="AE542" s="43"/>
      <c r="AF542" s="69"/>
      <c r="AI542" s="46"/>
      <c r="AJ542" s="138"/>
      <c r="AK542" s="138"/>
      <c r="AL542" s="138"/>
      <c r="AM542" s="42"/>
      <c r="AO542" s="42"/>
      <c r="AQ542" s="43"/>
      <c r="AR542" s="43"/>
      <c r="AS542" s="44"/>
      <c r="AT542" s="44"/>
      <c r="AU542" s="44"/>
      <c r="AW542" s="42"/>
      <c r="AX542" s="42"/>
      <c r="AY542" s="45"/>
      <c r="AZ542" s="47"/>
      <c r="BG542" s="43"/>
      <c r="BI542" s="43"/>
      <c r="BJ542" s="43"/>
      <c r="BK542" s="43"/>
      <c r="BL542" s="43"/>
      <c r="BM542" s="43"/>
      <c r="BO542" s="43"/>
      <c r="BR542" s="43"/>
      <c r="BS542" s="43"/>
      <c r="BW542" s="43"/>
      <c r="CC542" s="43"/>
      <c r="CE542" s="43"/>
      <c r="CF542" s="43"/>
      <c r="CH542" s="43"/>
      <c r="CK542" s="43"/>
    </row>
    <row r="543" spans="2:89" x14ac:dyDescent="0.25">
      <c r="B543" s="89"/>
      <c r="C543" s="123"/>
      <c r="D543" s="47"/>
      <c r="E543" s="40"/>
      <c r="F543" s="43"/>
      <c r="G543" s="43"/>
      <c r="H543" s="41"/>
      <c r="I543" s="42"/>
      <c r="J543" s="42"/>
      <c r="K543" s="84"/>
      <c r="L543" s="45"/>
      <c r="M543" s="50"/>
      <c r="N543" s="42"/>
      <c r="O543" s="42"/>
      <c r="P543" s="229"/>
      <c r="Q543" s="42"/>
      <c r="R543" s="42"/>
      <c r="S543" s="42"/>
      <c r="T543" s="42"/>
      <c r="U543" s="67"/>
      <c r="V543" s="220"/>
      <c r="W543" s="48"/>
      <c r="X543" s="49"/>
      <c r="Y543" s="43"/>
      <c r="Z543" s="49"/>
      <c r="AA543" s="43"/>
      <c r="AB543" s="43"/>
      <c r="AC543" s="49"/>
      <c r="AE543" s="43"/>
      <c r="AF543" s="69"/>
      <c r="AI543" s="46"/>
      <c r="AJ543" s="138"/>
      <c r="AK543" s="138"/>
      <c r="AL543" s="138"/>
      <c r="AM543" s="42"/>
      <c r="AO543" s="42"/>
      <c r="AQ543" s="43"/>
      <c r="AR543" s="43"/>
      <c r="AS543" s="44"/>
      <c r="AT543" s="44"/>
      <c r="AU543" s="44"/>
      <c r="AW543" s="42"/>
      <c r="AX543" s="42"/>
      <c r="AY543" s="45"/>
      <c r="AZ543" s="47"/>
      <c r="BG543" s="43"/>
      <c r="BI543" s="43"/>
      <c r="BJ543" s="43"/>
      <c r="BK543" s="43"/>
      <c r="BL543" s="43"/>
      <c r="BM543" s="43"/>
      <c r="BO543" s="43"/>
      <c r="BR543" s="43"/>
      <c r="BS543" s="43"/>
      <c r="BW543" s="43"/>
      <c r="CC543" s="43"/>
      <c r="CE543" s="43"/>
      <c r="CF543" s="43"/>
      <c r="CH543" s="43"/>
      <c r="CK543" s="43"/>
    </row>
    <row r="544" spans="2:89" x14ac:dyDescent="0.25">
      <c r="B544" s="89"/>
      <c r="C544" s="123"/>
      <c r="D544" s="47"/>
      <c r="E544" s="40"/>
      <c r="F544" s="43"/>
      <c r="G544" s="43"/>
      <c r="H544" s="41"/>
      <c r="I544" s="42"/>
      <c r="J544" s="42"/>
      <c r="K544" s="84"/>
      <c r="L544" s="45"/>
      <c r="M544" s="50"/>
      <c r="N544" s="42"/>
      <c r="O544" s="42"/>
      <c r="P544" s="229"/>
      <c r="Q544" s="42"/>
      <c r="R544" s="42"/>
      <c r="S544" s="42"/>
      <c r="T544" s="42"/>
      <c r="U544" s="67"/>
      <c r="V544" s="220"/>
      <c r="W544" s="48"/>
      <c r="X544" s="49"/>
      <c r="Y544" s="43"/>
      <c r="Z544" s="49"/>
      <c r="AA544" s="43"/>
      <c r="AB544" s="43"/>
      <c r="AC544" s="49"/>
      <c r="AE544" s="43"/>
      <c r="AF544" s="69"/>
      <c r="AI544" s="46"/>
      <c r="AJ544" s="138"/>
      <c r="AK544" s="138"/>
      <c r="AL544" s="138"/>
      <c r="AM544" s="42"/>
      <c r="AO544" s="42"/>
      <c r="AQ544" s="43"/>
      <c r="AR544" s="43"/>
      <c r="AS544" s="44"/>
      <c r="AT544" s="44"/>
      <c r="AU544" s="44"/>
      <c r="AW544" s="42"/>
      <c r="AX544" s="42"/>
      <c r="AY544" s="45"/>
      <c r="AZ544" s="47"/>
      <c r="BG544" s="43"/>
      <c r="BI544" s="43"/>
      <c r="BJ544" s="43"/>
      <c r="BK544" s="43"/>
      <c r="BL544" s="43"/>
      <c r="BM544" s="43"/>
      <c r="BO544" s="43"/>
      <c r="BR544" s="43"/>
      <c r="BS544" s="43"/>
      <c r="BW544" s="43"/>
      <c r="CC544" s="43"/>
      <c r="CE544" s="43"/>
      <c r="CF544" s="43"/>
      <c r="CH544" s="43"/>
      <c r="CK544" s="43"/>
    </row>
    <row r="545" spans="2:89" x14ac:dyDescent="0.25">
      <c r="B545" s="89"/>
      <c r="C545" s="123"/>
      <c r="D545" s="47"/>
      <c r="E545" s="40"/>
      <c r="F545" s="43"/>
      <c r="G545" s="43"/>
      <c r="H545" s="41"/>
      <c r="I545" s="42"/>
      <c r="J545" s="42"/>
      <c r="K545" s="84"/>
      <c r="L545" s="45"/>
      <c r="M545" s="50"/>
      <c r="N545" s="42"/>
      <c r="O545" s="42"/>
      <c r="P545" s="229"/>
      <c r="Q545" s="42"/>
      <c r="R545" s="42"/>
      <c r="S545" s="42"/>
      <c r="T545" s="42"/>
      <c r="U545" s="67"/>
      <c r="V545" s="220"/>
      <c r="W545" s="48"/>
      <c r="X545" s="49"/>
      <c r="Y545" s="43"/>
      <c r="Z545" s="49"/>
      <c r="AA545" s="43"/>
      <c r="AB545" s="43"/>
      <c r="AC545" s="49"/>
      <c r="AE545" s="43"/>
      <c r="AF545" s="69"/>
      <c r="AI545" s="46"/>
      <c r="AJ545" s="138"/>
      <c r="AK545" s="138"/>
      <c r="AL545" s="138"/>
      <c r="AM545" s="42"/>
      <c r="AO545" s="42"/>
      <c r="AQ545" s="43"/>
      <c r="AR545" s="43"/>
      <c r="AS545" s="44"/>
      <c r="AT545" s="44"/>
      <c r="AU545" s="44"/>
      <c r="AW545" s="42"/>
      <c r="AX545" s="42"/>
      <c r="AY545" s="45"/>
      <c r="AZ545" s="47"/>
      <c r="BG545" s="43"/>
      <c r="BI545" s="43"/>
      <c r="BJ545" s="43"/>
      <c r="BK545" s="43"/>
      <c r="BL545" s="43"/>
      <c r="BM545" s="43"/>
      <c r="BO545" s="43"/>
      <c r="BR545" s="43"/>
      <c r="BS545" s="43"/>
      <c r="BW545" s="43"/>
      <c r="CC545" s="43"/>
      <c r="CE545" s="43"/>
      <c r="CF545" s="43"/>
      <c r="CH545" s="43"/>
      <c r="CK545" s="43"/>
    </row>
    <row r="546" spans="2:89" x14ac:dyDescent="0.25">
      <c r="B546" s="89"/>
      <c r="C546" s="123"/>
      <c r="D546" s="47"/>
      <c r="E546" s="40"/>
      <c r="F546" s="43"/>
      <c r="G546" s="43"/>
      <c r="H546" s="41"/>
      <c r="I546" s="42"/>
      <c r="J546" s="42"/>
      <c r="K546" s="84"/>
      <c r="L546" s="45"/>
      <c r="M546" s="50"/>
      <c r="N546" s="42"/>
      <c r="O546" s="42"/>
      <c r="P546" s="229"/>
      <c r="Q546" s="42"/>
      <c r="R546" s="42"/>
      <c r="S546" s="42"/>
      <c r="T546" s="42"/>
      <c r="U546" s="67"/>
      <c r="V546" s="220"/>
      <c r="W546" s="48"/>
      <c r="X546" s="49"/>
      <c r="Y546" s="43"/>
      <c r="Z546" s="49"/>
      <c r="AA546" s="43"/>
      <c r="AB546" s="43"/>
      <c r="AC546" s="49"/>
      <c r="AE546" s="43"/>
      <c r="AF546" s="69"/>
      <c r="AI546" s="46"/>
      <c r="AJ546" s="138"/>
      <c r="AK546" s="138"/>
      <c r="AL546" s="138"/>
      <c r="AM546" s="42"/>
      <c r="AO546" s="42"/>
      <c r="AQ546" s="43"/>
      <c r="AR546" s="43"/>
      <c r="AS546" s="44"/>
      <c r="AT546" s="44"/>
      <c r="AU546" s="44"/>
      <c r="AW546" s="42"/>
      <c r="AX546" s="42"/>
      <c r="AY546" s="45"/>
      <c r="AZ546" s="47"/>
      <c r="BG546" s="43"/>
      <c r="BI546" s="43"/>
      <c r="BJ546" s="43"/>
      <c r="BK546" s="43"/>
      <c r="BL546" s="43"/>
      <c r="BM546" s="43"/>
      <c r="BO546" s="43"/>
      <c r="BR546" s="43"/>
      <c r="BS546" s="43"/>
      <c r="BW546" s="43"/>
      <c r="CC546" s="43"/>
      <c r="CE546" s="43"/>
      <c r="CF546" s="43"/>
      <c r="CH546" s="43"/>
      <c r="CK546" s="43"/>
    </row>
    <row r="547" spans="2:89" x14ac:dyDescent="0.25">
      <c r="B547" s="89"/>
      <c r="C547" s="123"/>
      <c r="D547" s="47"/>
      <c r="E547" s="40"/>
      <c r="F547" s="43"/>
      <c r="G547" s="43"/>
      <c r="H547" s="41"/>
      <c r="I547" s="42"/>
      <c r="J547" s="42"/>
      <c r="K547" s="84"/>
      <c r="L547" s="45"/>
      <c r="M547" s="50"/>
      <c r="N547" s="42"/>
      <c r="O547" s="42"/>
      <c r="P547" s="229"/>
      <c r="Q547" s="42"/>
      <c r="R547" s="42"/>
      <c r="S547" s="42"/>
      <c r="T547" s="42"/>
      <c r="U547" s="67"/>
      <c r="V547" s="220"/>
      <c r="W547" s="48"/>
      <c r="X547" s="49"/>
      <c r="Y547" s="43"/>
      <c r="Z547" s="49"/>
      <c r="AA547" s="43"/>
      <c r="AB547" s="43"/>
      <c r="AC547" s="49"/>
      <c r="AE547" s="43"/>
      <c r="AF547" s="69"/>
      <c r="AI547" s="46"/>
      <c r="AJ547" s="138"/>
      <c r="AK547" s="138"/>
      <c r="AL547" s="138"/>
      <c r="AM547" s="42"/>
      <c r="AO547" s="42"/>
      <c r="AQ547" s="43"/>
      <c r="AR547" s="43"/>
      <c r="AS547" s="44"/>
      <c r="AT547" s="44"/>
      <c r="AU547" s="44"/>
      <c r="AW547" s="42"/>
      <c r="AX547" s="42"/>
      <c r="AY547" s="45"/>
      <c r="AZ547" s="47"/>
      <c r="BG547" s="43"/>
      <c r="BI547" s="43"/>
      <c r="BJ547" s="43"/>
      <c r="BK547" s="43"/>
      <c r="BL547" s="43"/>
      <c r="BM547" s="43"/>
      <c r="BO547" s="43"/>
      <c r="BR547" s="43"/>
      <c r="BS547" s="43"/>
      <c r="BW547" s="43"/>
      <c r="CC547" s="43"/>
      <c r="CE547" s="43"/>
      <c r="CF547" s="43"/>
      <c r="CH547" s="43"/>
      <c r="CK547" s="43"/>
    </row>
    <row r="548" spans="2:89" x14ac:dyDescent="0.25">
      <c r="B548" s="89"/>
      <c r="C548" s="123"/>
      <c r="D548" s="47"/>
      <c r="E548" s="40"/>
      <c r="F548" s="43"/>
      <c r="G548" s="43"/>
      <c r="H548" s="41"/>
      <c r="I548" s="42"/>
      <c r="J548" s="42"/>
      <c r="K548" s="84"/>
      <c r="L548" s="45"/>
      <c r="M548" s="50"/>
      <c r="N548" s="42"/>
      <c r="O548" s="42"/>
      <c r="P548" s="229"/>
      <c r="Q548" s="42"/>
      <c r="R548" s="42"/>
      <c r="S548" s="42"/>
      <c r="T548" s="42"/>
      <c r="U548" s="67"/>
      <c r="V548" s="220"/>
      <c r="W548" s="48"/>
      <c r="X548" s="49"/>
      <c r="Y548" s="43"/>
      <c r="Z548" s="49"/>
      <c r="AA548" s="43"/>
      <c r="AB548" s="43"/>
      <c r="AC548" s="49"/>
      <c r="AE548" s="43"/>
      <c r="AF548" s="69"/>
      <c r="AI548" s="46"/>
      <c r="AJ548" s="138"/>
      <c r="AK548" s="138"/>
      <c r="AL548" s="138"/>
      <c r="AM548" s="42"/>
      <c r="AO548" s="42"/>
      <c r="AQ548" s="43"/>
      <c r="AR548" s="43"/>
      <c r="AS548" s="44"/>
      <c r="AT548" s="44"/>
      <c r="AU548" s="44"/>
      <c r="AW548" s="42"/>
      <c r="AX548" s="42"/>
      <c r="AY548" s="45"/>
      <c r="AZ548" s="47"/>
      <c r="BG548" s="43"/>
      <c r="BI548" s="43"/>
      <c r="BJ548" s="43"/>
      <c r="BK548" s="43"/>
      <c r="BL548" s="43"/>
      <c r="BM548" s="43"/>
      <c r="BO548" s="43"/>
      <c r="BR548" s="43"/>
      <c r="BS548" s="43"/>
      <c r="BW548" s="43"/>
      <c r="CC548" s="43"/>
      <c r="CE548" s="43"/>
      <c r="CF548" s="43"/>
      <c r="CH548" s="43"/>
      <c r="CK548" s="43"/>
    </row>
    <row r="549" spans="2:89" x14ac:dyDescent="0.25">
      <c r="B549" s="89"/>
      <c r="C549" s="123"/>
      <c r="D549" s="47"/>
      <c r="E549" s="40"/>
      <c r="F549" s="43"/>
      <c r="G549" s="43"/>
      <c r="H549" s="41"/>
      <c r="I549" s="42"/>
      <c r="J549" s="42"/>
      <c r="K549" s="84"/>
      <c r="L549" s="45"/>
      <c r="M549" s="50"/>
      <c r="N549" s="42"/>
      <c r="O549" s="42"/>
      <c r="P549" s="229"/>
      <c r="Q549" s="42"/>
      <c r="R549" s="42"/>
      <c r="S549" s="42"/>
      <c r="T549" s="42"/>
      <c r="U549" s="67"/>
      <c r="V549" s="220"/>
      <c r="W549" s="48"/>
      <c r="X549" s="49"/>
      <c r="Y549" s="43"/>
      <c r="Z549" s="49"/>
      <c r="AA549" s="43"/>
      <c r="AB549" s="43"/>
      <c r="AC549" s="49"/>
      <c r="AE549" s="43"/>
      <c r="AF549" s="69"/>
      <c r="AI549" s="46"/>
      <c r="AJ549" s="138"/>
      <c r="AK549" s="138"/>
      <c r="AL549" s="138"/>
      <c r="AM549" s="42"/>
      <c r="AO549" s="42"/>
      <c r="AQ549" s="43"/>
      <c r="AR549" s="43"/>
      <c r="AS549" s="44"/>
      <c r="AT549" s="44"/>
      <c r="AU549" s="44"/>
      <c r="AW549" s="42"/>
      <c r="AX549" s="42"/>
      <c r="AY549" s="45"/>
      <c r="AZ549" s="47"/>
      <c r="BG549" s="43"/>
      <c r="BI549" s="43"/>
      <c r="BJ549" s="43"/>
      <c r="BK549" s="43"/>
      <c r="BL549" s="43"/>
      <c r="BM549" s="43"/>
      <c r="BO549" s="43"/>
      <c r="BR549" s="43"/>
      <c r="BS549" s="43"/>
      <c r="BW549" s="43"/>
      <c r="CC549" s="43"/>
      <c r="CE549" s="43"/>
      <c r="CF549" s="43"/>
      <c r="CH549" s="43"/>
      <c r="CK549" s="43"/>
    </row>
    <row r="550" spans="2:89" x14ac:dyDescent="0.25">
      <c r="B550" s="89"/>
      <c r="C550" s="123"/>
      <c r="D550" s="47"/>
      <c r="E550" s="40"/>
      <c r="F550" s="43"/>
      <c r="G550" s="43"/>
      <c r="H550" s="41"/>
      <c r="I550" s="42"/>
      <c r="J550" s="42"/>
      <c r="K550" s="84"/>
      <c r="L550" s="45"/>
      <c r="M550" s="50"/>
      <c r="N550" s="42"/>
      <c r="O550" s="42"/>
      <c r="P550" s="229"/>
      <c r="Q550" s="42"/>
      <c r="R550" s="42"/>
      <c r="S550" s="42"/>
      <c r="T550" s="42"/>
      <c r="U550" s="67"/>
      <c r="V550" s="220"/>
      <c r="W550" s="48"/>
      <c r="X550" s="49"/>
      <c r="Y550" s="43"/>
      <c r="Z550" s="49"/>
      <c r="AA550" s="43"/>
      <c r="AB550" s="43"/>
      <c r="AC550" s="49"/>
      <c r="AE550" s="43"/>
      <c r="AF550" s="69"/>
      <c r="AI550" s="46"/>
      <c r="AJ550" s="138"/>
      <c r="AK550" s="138"/>
      <c r="AL550" s="138"/>
      <c r="AM550" s="42"/>
      <c r="AO550" s="42"/>
      <c r="AQ550" s="43"/>
      <c r="AR550" s="43"/>
      <c r="AS550" s="44"/>
      <c r="AT550" s="44"/>
      <c r="AU550" s="44"/>
      <c r="AW550" s="42"/>
      <c r="AX550" s="42"/>
      <c r="AY550" s="45"/>
      <c r="AZ550" s="47"/>
      <c r="BG550" s="43"/>
      <c r="BI550" s="43"/>
      <c r="BJ550" s="43"/>
      <c r="BK550" s="43"/>
      <c r="BL550" s="43"/>
      <c r="BM550" s="43"/>
      <c r="BO550" s="43"/>
      <c r="BR550" s="43"/>
      <c r="BS550" s="43"/>
      <c r="BW550" s="43"/>
      <c r="CC550" s="43"/>
      <c r="CE550" s="43"/>
      <c r="CF550" s="43"/>
      <c r="CH550" s="43"/>
      <c r="CK550" s="43"/>
    </row>
    <row r="551" spans="2:89" x14ac:dyDescent="0.25">
      <c r="B551" s="89"/>
      <c r="C551" s="123"/>
      <c r="D551" s="47"/>
      <c r="E551" s="40"/>
      <c r="F551" s="43"/>
      <c r="G551" s="43"/>
      <c r="H551" s="41"/>
      <c r="I551" s="42"/>
      <c r="J551" s="42"/>
      <c r="K551" s="84"/>
      <c r="L551" s="45"/>
      <c r="M551" s="50"/>
      <c r="N551" s="42"/>
      <c r="O551" s="42"/>
      <c r="P551" s="229"/>
      <c r="Q551" s="42"/>
      <c r="R551" s="42"/>
      <c r="S551" s="42"/>
      <c r="T551" s="42"/>
      <c r="U551" s="67"/>
      <c r="V551" s="220"/>
      <c r="W551" s="48"/>
      <c r="X551" s="49"/>
      <c r="Y551" s="43"/>
      <c r="Z551" s="49"/>
      <c r="AA551" s="43"/>
      <c r="AB551" s="43"/>
      <c r="AC551" s="49"/>
      <c r="AE551" s="43"/>
      <c r="AF551" s="69"/>
      <c r="AI551" s="46"/>
      <c r="AJ551" s="138"/>
      <c r="AK551" s="138"/>
      <c r="AL551" s="138"/>
      <c r="AM551" s="42"/>
      <c r="AO551" s="42"/>
      <c r="AQ551" s="43"/>
      <c r="AR551" s="43"/>
      <c r="AS551" s="44"/>
      <c r="AT551" s="44"/>
      <c r="AU551" s="44"/>
      <c r="AW551" s="42"/>
      <c r="AX551" s="42"/>
      <c r="AY551" s="45"/>
      <c r="AZ551" s="47"/>
      <c r="BG551" s="43"/>
      <c r="BI551" s="43"/>
      <c r="BJ551" s="43"/>
      <c r="BK551" s="43"/>
      <c r="BL551" s="43"/>
      <c r="BM551" s="43"/>
      <c r="BO551" s="43"/>
      <c r="BR551" s="43"/>
      <c r="BS551" s="43"/>
      <c r="BW551" s="43"/>
      <c r="CC551" s="43"/>
      <c r="CE551" s="43"/>
      <c r="CF551" s="43"/>
      <c r="CH551" s="43"/>
      <c r="CK551" s="43"/>
    </row>
    <row r="552" spans="2:89" x14ac:dyDescent="0.25">
      <c r="B552" s="89"/>
      <c r="C552" s="123"/>
      <c r="D552" s="47"/>
      <c r="E552" s="40"/>
      <c r="F552" s="43"/>
      <c r="G552" s="43"/>
      <c r="H552" s="41"/>
      <c r="I552" s="42"/>
      <c r="J552" s="42"/>
      <c r="K552" s="84"/>
      <c r="L552" s="45"/>
      <c r="M552" s="50"/>
      <c r="N552" s="42"/>
      <c r="O552" s="42"/>
      <c r="P552" s="229"/>
      <c r="Q552" s="42"/>
      <c r="R552" s="42"/>
      <c r="S552" s="42"/>
      <c r="T552" s="42"/>
      <c r="U552" s="67"/>
      <c r="V552" s="220"/>
      <c r="W552" s="48"/>
      <c r="X552" s="49"/>
      <c r="Y552" s="43"/>
      <c r="Z552" s="49"/>
      <c r="AA552" s="43"/>
      <c r="AB552" s="43"/>
      <c r="AC552" s="49"/>
      <c r="AE552" s="43"/>
      <c r="AF552" s="69"/>
      <c r="AI552" s="46"/>
      <c r="AJ552" s="138"/>
      <c r="AK552" s="138"/>
      <c r="AL552" s="138"/>
      <c r="AM552" s="42"/>
      <c r="AO552" s="42"/>
      <c r="AQ552" s="43"/>
      <c r="AR552" s="43"/>
      <c r="AS552" s="44"/>
      <c r="AT552" s="44"/>
      <c r="AU552" s="44"/>
      <c r="AW552" s="42"/>
      <c r="AX552" s="42"/>
      <c r="AY552" s="45"/>
      <c r="AZ552" s="47"/>
      <c r="BG552" s="43"/>
      <c r="BI552" s="43"/>
      <c r="BJ552" s="43"/>
      <c r="BK552" s="43"/>
      <c r="BL552" s="43"/>
      <c r="BM552" s="43"/>
      <c r="BO552" s="43"/>
      <c r="BR552" s="43"/>
      <c r="BS552" s="43"/>
      <c r="BW552" s="43"/>
      <c r="CC552" s="43"/>
      <c r="CE552" s="43"/>
      <c r="CF552" s="43"/>
      <c r="CH552" s="43"/>
      <c r="CK552" s="43"/>
    </row>
    <row r="553" spans="2:89" x14ac:dyDescent="0.25">
      <c r="B553" s="89"/>
      <c r="C553" s="123"/>
      <c r="D553" s="47"/>
      <c r="E553" s="40"/>
      <c r="F553" s="43"/>
      <c r="G553" s="43"/>
      <c r="H553" s="41"/>
      <c r="I553" s="42"/>
      <c r="J553" s="42"/>
      <c r="K553" s="84"/>
      <c r="L553" s="45"/>
      <c r="M553" s="50"/>
      <c r="N553" s="42"/>
      <c r="O553" s="42"/>
      <c r="P553" s="229"/>
      <c r="Q553" s="42"/>
      <c r="R553" s="42"/>
      <c r="S553" s="42"/>
      <c r="T553" s="42"/>
      <c r="U553" s="67"/>
      <c r="V553" s="220"/>
      <c r="W553" s="48"/>
      <c r="X553" s="49"/>
      <c r="Y553" s="43"/>
      <c r="Z553" s="49"/>
      <c r="AA553" s="43"/>
      <c r="AB553" s="43"/>
      <c r="AC553" s="49"/>
      <c r="AE553" s="43"/>
      <c r="AF553" s="69"/>
      <c r="AI553" s="46"/>
      <c r="AJ553" s="138"/>
      <c r="AK553" s="138"/>
      <c r="AL553" s="138"/>
      <c r="AM553" s="42"/>
      <c r="AO553" s="42"/>
      <c r="AQ553" s="43"/>
      <c r="AR553" s="43"/>
      <c r="AS553" s="44"/>
      <c r="AT553" s="44"/>
      <c r="AU553" s="44"/>
      <c r="AW553" s="42"/>
      <c r="AX553" s="42"/>
      <c r="AY553" s="45"/>
      <c r="AZ553" s="47"/>
      <c r="BG553" s="43"/>
      <c r="BI553" s="43"/>
      <c r="BJ553" s="43"/>
      <c r="BK553" s="43"/>
      <c r="BL553" s="43"/>
      <c r="BM553" s="43"/>
      <c r="BO553" s="43"/>
      <c r="BR553" s="43"/>
      <c r="BS553" s="43"/>
      <c r="BW553" s="43"/>
      <c r="CC553" s="43"/>
      <c r="CE553" s="43"/>
      <c r="CF553" s="43"/>
      <c r="CH553" s="43"/>
      <c r="CK553" s="43"/>
    </row>
    <row r="554" spans="2:89" x14ac:dyDescent="0.25">
      <c r="B554" s="89"/>
      <c r="C554" s="123"/>
      <c r="D554" s="47"/>
      <c r="E554" s="40"/>
      <c r="F554" s="43"/>
      <c r="G554" s="43"/>
      <c r="H554" s="41"/>
      <c r="I554" s="42"/>
      <c r="J554" s="42"/>
      <c r="K554" s="84"/>
      <c r="L554" s="45"/>
      <c r="M554" s="50"/>
      <c r="N554" s="42"/>
      <c r="O554" s="42"/>
      <c r="P554" s="229"/>
      <c r="Q554" s="42"/>
      <c r="R554" s="42"/>
      <c r="S554" s="42"/>
      <c r="T554" s="42"/>
      <c r="U554" s="67"/>
      <c r="V554" s="220"/>
      <c r="W554" s="48"/>
      <c r="X554" s="49"/>
      <c r="Y554" s="43"/>
      <c r="Z554" s="49"/>
      <c r="AA554" s="43"/>
      <c r="AB554" s="43"/>
      <c r="AC554" s="49"/>
      <c r="AE554" s="43"/>
      <c r="AF554" s="69"/>
      <c r="AI554" s="46"/>
      <c r="AJ554" s="138"/>
      <c r="AK554" s="138"/>
      <c r="AL554" s="138"/>
      <c r="AM554" s="42"/>
      <c r="AO554" s="42"/>
      <c r="AQ554" s="43"/>
      <c r="AR554" s="43"/>
      <c r="AS554" s="44"/>
      <c r="AT554" s="44"/>
      <c r="AU554" s="44"/>
      <c r="AW554" s="42"/>
      <c r="AX554" s="42"/>
      <c r="AY554" s="45"/>
      <c r="AZ554" s="47"/>
      <c r="BG554" s="43"/>
      <c r="BI554" s="43"/>
      <c r="BJ554" s="43"/>
      <c r="BK554" s="43"/>
      <c r="BL554" s="43"/>
      <c r="BM554" s="43"/>
      <c r="BO554" s="43"/>
      <c r="BR554" s="43"/>
      <c r="BS554" s="43"/>
      <c r="BW554" s="43"/>
      <c r="CC554" s="43"/>
      <c r="CE554" s="43"/>
      <c r="CF554" s="43"/>
      <c r="CH554" s="43"/>
      <c r="CK554" s="43"/>
    </row>
    <row r="555" spans="2:89" x14ac:dyDescent="0.25">
      <c r="B555" s="89"/>
      <c r="C555" s="123"/>
      <c r="D555" s="47"/>
      <c r="E555" s="40"/>
      <c r="F555" s="43"/>
      <c r="G555" s="43"/>
      <c r="H555" s="41"/>
      <c r="I555" s="42"/>
      <c r="J555" s="42"/>
      <c r="K555" s="84"/>
      <c r="L555" s="45"/>
      <c r="M555" s="50"/>
      <c r="N555" s="42"/>
      <c r="O555" s="42"/>
      <c r="P555" s="229"/>
      <c r="Q555" s="42"/>
      <c r="R555" s="42"/>
      <c r="S555" s="42"/>
      <c r="T555" s="42"/>
      <c r="U555" s="67"/>
      <c r="V555" s="220"/>
      <c r="W555" s="48"/>
      <c r="X555" s="49"/>
      <c r="Y555" s="43"/>
      <c r="Z555" s="49"/>
      <c r="AA555" s="43"/>
      <c r="AB555" s="43"/>
      <c r="AC555" s="49"/>
      <c r="AE555" s="43"/>
      <c r="AF555" s="69"/>
      <c r="AI555" s="46"/>
      <c r="AJ555" s="138"/>
      <c r="AK555" s="138"/>
      <c r="AL555" s="138"/>
      <c r="AM555" s="42"/>
      <c r="AO555" s="42"/>
      <c r="AQ555" s="43"/>
      <c r="AR555" s="43"/>
      <c r="AS555" s="44"/>
      <c r="AT555" s="44"/>
      <c r="AU555" s="44"/>
      <c r="AW555" s="42"/>
      <c r="AX555" s="42"/>
      <c r="AY555" s="45"/>
      <c r="AZ555" s="47"/>
      <c r="BG555" s="43"/>
      <c r="BI555" s="43"/>
      <c r="BJ555" s="43"/>
      <c r="BK555" s="43"/>
      <c r="BL555" s="43"/>
      <c r="BM555" s="43"/>
      <c r="BO555" s="43"/>
      <c r="BR555" s="43"/>
      <c r="BS555" s="43"/>
      <c r="BW555" s="43"/>
      <c r="CC555" s="43"/>
      <c r="CE555" s="43"/>
      <c r="CF555" s="43"/>
      <c r="CH555" s="43"/>
      <c r="CK555" s="43"/>
    </row>
    <row r="556" spans="2:89" x14ac:dyDescent="0.25">
      <c r="B556" s="89"/>
      <c r="C556" s="123"/>
      <c r="D556" s="47"/>
      <c r="E556" s="40"/>
      <c r="F556" s="43"/>
      <c r="G556" s="43"/>
      <c r="H556" s="41"/>
      <c r="I556" s="42"/>
      <c r="J556" s="42"/>
      <c r="K556" s="84"/>
      <c r="L556" s="45"/>
      <c r="M556" s="50"/>
      <c r="N556" s="42"/>
      <c r="O556" s="42"/>
      <c r="P556" s="229"/>
      <c r="Q556" s="42"/>
      <c r="R556" s="42"/>
      <c r="S556" s="42"/>
      <c r="T556" s="42"/>
      <c r="U556" s="67"/>
      <c r="V556" s="220"/>
      <c r="W556" s="48"/>
      <c r="X556" s="49"/>
      <c r="Y556" s="43"/>
      <c r="Z556" s="49"/>
      <c r="AA556" s="43"/>
      <c r="AB556" s="43"/>
      <c r="AC556" s="49"/>
      <c r="AE556" s="43"/>
      <c r="AF556" s="69"/>
      <c r="AI556" s="46"/>
      <c r="AJ556" s="138"/>
      <c r="AK556" s="138"/>
      <c r="AL556" s="138"/>
      <c r="AM556" s="42"/>
      <c r="AO556" s="42"/>
      <c r="AQ556" s="43"/>
      <c r="AR556" s="43"/>
      <c r="AS556" s="44"/>
      <c r="AT556" s="44"/>
      <c r="AU556" s="73"/>
      <c r="AW556" s="42"/>
      <c r="AX556" s="42"/>
      <c r="AY556" s="45"/>
      <c r="AZ556" s="47"/>
      <c r="BG556" s="43"/>
      <c r="BI556" s="43"/>
      <c r="BJ556" s="43"/>
      <c r="BK556" s="43"/>
      <c r="BL556" s="43"/>
      <c r="BM556" s="43"/>
      <c r="BO556" s="43"/>
      <c r="BR556" s="43"/>
      <c r="BS556" s="43"/>
      <c r="BW556" s="43"/>
      <c r="CC556" s="43"/>
      <c r="CE556" s="43"/>
      <c r="CF556" s="43"/>
      <c r="CH556" s="43"/>
      <c r="CK556" s="43"/>
    </row>
    <row r="557" spans="2:89" x14ac:dyDescent="0.25">
      <c r="B557" s="89"/>
      <c r="C557" s="123"/>
      <c r="D557" s="47"/>
      <c r="E557" s="40"/>
      <c r="F557" s="43"/>
      <c r="G557" s="43"/>
      <c r="H557" s="41"/>
      <c r="I557" s="42"/>
      <c r="J557" s="42"/>
      <c r="K557" s="84"/>
      <c r="L557" s="45"/>
      <c r="M557" s="50"/>
      <c r="N557" s="42"/>
      <c r="O557" s="42"/>
      <c r="P557" s="229"/>
      <c r="Q557" s="42"/>
      <c r="R557" s="42"/>
      <c r="S557" s="42"/>
      <c r="T557" s="42"/>
      <c r="U557" s="67"/>
      <c r="V557" s="220"/>
      <c r="W557" s="48"/>
      <c r="X557" s="49"/>
      <c r="Y557" s="43"/>
      <c r="Z557" s="49"/>
      <c r="AA557" s="43"/>
      <c r="AB557" s="43"/>
      <c r="AC557" s="49"/>
      <c r="AE557" s="43"/>
      <c r="AF557" s="69"/>
      <c r="AI557" s="46"/>
      <c r="AJ557" s="138"/>
      <c r="AK557" s="138"/>
      <c r="AL557" s="138"/>
      <c r="AM557" s="42"/>
      <c r="AO557" s="42"/>
      <c r="AQ557" s="43"/>
      <c r="AR557" s="43"/>
      <c r="AS557" s="44"/>
      <c r="AT557" s="44"/>
      <c r="AU557" s="73"/>
      <c r="AW557" s="42"/>
      <c r="AX557" s="42"/>
      <c r="AY557" s="45"/>
      <c r="AZ557" s="47"/>
      <c r="BG557" s="43"/>
      <c r="BI557" s="43"/>
      <c r="BJ557" s="43"/>
      <c r="BK557" s="43"/>
      <c r="BL557" s="43"/>
      <c r="BM557" s="43"/>
      <c r="BO557" s="43"/>
      <c r="BR557" s="43"/>
      <c r="BS557" s="43"/>
      <c r="BW557" s="43"/>
      <c r="CC557" s="43"/>
      <c r="CE557" s="43"/>
      <c r="CF557" s="43"/>
      <c r="CH557" s="43"/>
      <c r="CK557" s="43"/>
    </row>
    <row r="558" spans="2:89" x14ac:dyDescent="0.25">
      <c r="B558" s="89"/>
      <c r="C558" s="123"/>
      <c r="D558" s="47"/>
      <c r="E558" s="40"/>
      <c r="F558" s="43"/>
      <c r="G558" s="43"/>
      <c r="H558" s="41"/>
      <c r="I558" s="42"/>
      <c r="J558" s="42"/>
      <c r="K558" s="84"/>
      <c r="L558" s="45"/>
      <c r="M558" s="50"/>
      <c r="N558" s="42"/>
      <c r="O558" s="42"/>
      <c r="P558" s="229"/>
      <c r="Q558" s="42"/>
      <c r="R558" s="42"/>
      <c r="S558" s="42"/>
      <c r="T558" s="42"/>
      <c r="U558" s="67"/>
      <c r="V558" s="220"/>
      <c r="W558" s="48"/>
      <c r="X558" s="49"/>
      <c r="Y558" s="43"/>
      <c r="Z558" s="49"/>
      <c r="AA558" s="43"/>
      <c r="AB558" s="43"/>
      <c r="AC558" s="49"/>
      <c r="AE558" s="43"/>
      <c r="AF558" s="69"/>
      <c r="AI558" s="46"/>
      <c r="AJ558" s="138"/>
      <c r="AK558" s="138"/>
      <c r="AL558" s="138"/>
      <c r="AM558" s="42"/>
      <c r="AO558" s="42"/>
      <c r="AQ558" s="43"/>
      <c r="AR558" s="43"/>
      <c r="AS558" s="44"/>
      <c r="AT558" s="44"/>
      <c r="AU558" s="73"/>
      <c r="AW558" s="42"/>
      <c r="AX558" s="42"/>
      <c r="AY558" s="45"/>
      <c r="AZ558" s="47"/>
      <c r="BG558" s="43"/>
      <c r="BI558" s="43"/>
      <c r="BJ558" s="43"/>
      <c r="BK558" s="43"/>
      <c r="BL558" s="43"/>
      <c r="BM558" s="43"/>
      <c r="BO558" s="43"/>
      <c r="BR558" s="43"/>
      <c r="BS558" s="43"/>
      <c r="BW558" s="43"/>
      <c r="CC558" s="43"/>
      <c r="CE558" s="43"/>
      <c r="CF558" s="43"/>
      <c r="CH558" s="43"/>
      <c r="CK558" s="43"/>
    </row>
    <row r="559" spans="2:89" x14ac:dyDescent="0.25">
      <c r="B559" s="89"/>
      <c r="C559" s="123"/>
      <c r="D559" s="47"/>
      <c r="E559" s="40"/>
      <c r="F559" s="43"/>
      <c r="G559" s="43"/>
      <c r="H559" s="41"/>
      <c r="I559" s="42"/>
      <c r="J559" s="42"/>
      <c r="K559" s="84"/>
      <c r="L559" s="45"/>
      <c r="M559" s="50"/>
      <c r="N559" s="42"/>
      <c r="O559" s="42"/>
      <c r="P559" s="229"/>
      <c r="Q559" s="42"/>
      <c r="R559" s="42"/>
      <c r="S559" s="42"/>
      <c r="T559" s="42"/>
      <c r="U559" s="67"/>
      <c r="V559" s="220"/>
      <c r="W559" s="48"/>
      <c r="X559" s="49"/>
      <c r="Y559" s="43"/>
      <c r="Z559" s="49"/>
      <c r="AA559" s="43"/>
      <c r="AB559" s="43"/>
      <c r="AC559" s="49"/>
      <c r="AE559" s="43"/>
      <c r="AF559" s="69"/>
      <c r="AI559" s="46"/>
      <c r="AJ559" s="138"/>
      <c r="AK559" s="138"/>
      <c r="AL559" s="138"/>
      <c r="AM559" s="42"/>
      <c r="AO559" s="42"/>
      <c r="AQ559" s="43"/>
      <c r="AR559" s="43"/>
      <c r="AS559" s="44"/>
      <c r="AT559" s="44"/>
      <c r="AU559" s="73"/>
      <c r="AW559" s="42"/>
      <c r="AX559" s="42"/>
      <c r="AY559" s="45"/>
      <c r="AZ559" s="47"/>
      <c r="BG559" s="43"/>
      <c r="BI559" s="43"/>
      <c r="BJ559" s="43"/>
      <c r="BK559" s="43"/>
      <c r="BL559" s="43"/>
      <c r="BM559" s="43"/>
      <c r="BO559" s="43"/>
      <c r="BR559" s="43"/>
      <c r="BS559" s="43"/>
      <c r="BW559" s="43"/>
      <c r="CC559" s="43"/>
      <c r="CE559" s="43"/>
      <c r="CF559" s="43"/>
      <c r="CH559" s="43"/>
      <c r="CK559" s="43"/>
    </row>
    <row r="560" spans="2:89" x14ac:dyDescent="0.25">
      <c r="B560" s="89"/>
      <c r="C560" s="123"/>
      <c r="D560" s="47"/>
      <c r="E560" s="40"/>
      <c r="F560" s="43"/>
      <c r="G560" s="43"/>
      <c r="H560" s="41"/>
      <c r="I560" s="42"/>
      <c r="J560" s="42"/>
      <c r="K560" s="84"/>
      <c r="L560" s="45"/>
      <c r="M560" s="50"/>
      <c r="N560" s="42"/>
      <c r="O560" s="42"/>
      <c r="P560" s="229"/>
      <c r="Q560" s="42"/>
      <c r="R560" s="42"/>
      <c r="S560" s="42"/>
      <c r="T560" s="42"/>
      <c r="U560" s="67"/>
      <c r="V560" s="220"/>
      <c r="W560" s="48"/>
      <c r="X560" s="49"/>
      <c r="Y560" s="43"/>
      <c r="Z560" s="49"/>
      <c r="AA560" s="43"/>
      <c r="AB560" s="43"/>
      <c r="AC560" s="49"/>
      <c r="AE560" s="43"/>
      <c r="AF560" s="69"/>
      <c r="AI560" s="46"/>
      <c r="AJ560" s="138"/>
      <c r="AK560" s="138"/>
      <c r="AL560" s="138"/>
      <c r="AM560" s="42"/>
      <c r="AO560" s="42"/>
      <c r="AQ560" s="43"/>
      <c r="AR560" s="43"/>
      <c r="AS560" s="44"/>
      <c r="AT560" s="44"/>
      <c r="AU560" s="73"/>
      <c r="AW560" s="42"/>
      <c r="AX560" s="42"/>
      <c r="AY560" s="45"/>
      <c r="AZ560" s="47"/>
      <c r="BG560" s="43"/>
      <c r="BI560" s="43"/>
      <c r="BJ560" s="43"/>
      <c r="BK560" s="43"/>
      <c r="BL560" s="43"/>
      <c r="BM560" s="43"/>
      <c r="BO560" s="43"/>
      <c r="BR560" s="43"/>
      <c r="BS560" s="43"/>
      <c r="BW560" s="43"/>
      <c r="CC560" s="43"/>
      <c r="CE560" s="43"/>
      <c r="CF560" s="43"/>
      <c r="CH560" s="43"/>
      <c r="CK560" s="43"/>
    </row>
    <row r="561" spans="2:89" x14ac:dyDescent="0.25">
      <c r="B561" s="89"/>
      <c r="C561" s="123"/>
      <c r="D561" s="47"/>
      <c r="E561" s="40"/>
      <c r="F561" s="43"/>
      <c r="G561" s="43"/>
      <c r="H561" s="41"/>
      <c r="I561" s="75"/>
      <c r="J561" s="75"/>
      <c r="K561" s="85"/>
      <c r="L561" s="45"/>
      <c r="M561" s="50"/>
      <c r="N561" s="42"/>
      <c r="O561" s="42"/>
      <c r="P561" s="229"/>
      <c r="Q561" s="42"/>
      <c r="R561" s="42"/>
      <c r="S561" s="42"/>
      <c r="T561" s="42"/>
      <c r="U561" s="67"/>
      <c r="V561" s="220"/>
      <c r="W561" s="48"/>
      <c r="X561" s="49"/>
      <c r="Y561" s="43"/>
      <c r="Z561" s="49"/>
      <c r="AA561" s="43"/>
      <c r="AB561" s="43"/>
      <c r="AC561" s="49"/>
      <c r="AE561" s="43"/>
      <c r="AF561" s="69"/>
      <c r="AI561" s="46"/>
      <c r="AJ561" s="138"/>
      <c r="AK561" s="138"/>
      <c r="AL561" s="138"/>
      <c r="AM561" s="40"/>
      <c r="AN561" s="40"/>
      <c r="AO561" s="40"/>
      <c r="AP561" s="40"/>
      <c r="AQ561" s="43"/>
      <c r="AR561" s="43"/>
      <c r="AS561" s="44"/>
      <c r="AT561" s="73"/>
      <c r="AU561" s="73"/>
      <c r="AV561" s="72"/>
      <c r="AW561" s="40"/>
      <c r="AX561" s="40"/>
      <c r="AY561" s="74"/>
      <c r="AZ561" s="77"/>
      <c r="BG561" s="43"/>
      <c r="BI561" s="43"/>
      <c r="BJ561" s="43"/>
      <c r="BK561" s="43"/>
      <c r="BL561" s="43"/>
      <c r="BM561" s="43"/>
      <c r="BO561" s="43"/>
      <c r="BR561" s="43"/>
      <c r="BS561" s="43"/>
      <c r="BW561" s="43"/>
      <c r="CC561" s="43"/>
      <c r="CE561" s="43"/>
      <c r="CF561" s="43"/>
      <c r="CH561" s="43"/>
      <c r="CK561" s="43"/>
    </row>
    <row r="562" spans="2:89" ht="15.75" customHeight="1" x14ac:dyDescent="0.25">
      <c r="B562" s="89"/>
      <c r="C562" s="123"/>
      <c r="D562" s="47"/>
      <c r="E562" s="40"/>
      <c r="F562" s="43"/>
      <c r="G562" s="43"/>
      <c r="H562" s="41"/>
      <c r="I562" s="75"/>
      <c r="J562" s="75"/>
      <c r="K562" s="85"/>
      <c r="L562" s="45"/>
      <c r="M562" s="50"/>
      <c r="N562" s="42"/>
      <c r="O562" s="42"/>
      <c r="P562" s="229"/>
      <c r="Q562" s="42"/>
      <c r="R562" s="42"/>
      <c r="S562" s="42"/>
      <c r="T562" s="42"/>
      <c r="U562" s="67"/>
      <c r="V562" s="220"/>
      <c r="W562" s="48"/>
      <c r="X562" s="49"/>
      <c r="Y562" s="43"/>
      <c r="Z562" s="49"/>
      <c r="AA562" s="43"/>
      <c r="AB562" s="43"/>
      <c r="AC562" s="49"/>
      <c r="AE562" s="43"/>
      <c r="AF562" s="69"/>
      <c r="AI562" s="46"/>
      <c r="AJ562" s="138"/>
      <c r="AK562" s="138"/>
      <c r="AL562" s="138"/>
      <c r="AM562" s="40"/>
      <c r="AN562" s="40"/>
      <c r="AO562" s="40"/>
      <c r="AP562" s="40"/>
      <c r="AQ562" s="43"/>
      <c r="AR562" s="43"/>
      <c r="AS562" s="44"/>
      <c r="AT562" s="73"/>
      <c r="AU562" s="73"/>
      <c r="AV562" s="72"/>
      <c r="AW562" s="40"/>
      <c r="AX562" s="40"/>
      <c r="AY562" s="74"/>
      <c r="AZ562" s="77"/>
      <c r="BG562" s="43"/>
      <c r="BI562" s="43"/>
      <c r="BJ562" s="43"/>
      <c r="BK562" s="43"/>
      <c r="BL562" s="43"/>
      <c r="BM562" s="43"/>
      <c r="BO562" s="43"/>
      <c r="BR562" s="43"/>
      <c r="BS562" s="43"/>
      <c r="BW562" s="43"/>
      <c r="CC562" s="43"/>
      <c r="CE562" s="43"/>
      <c r="CF562" s="43"/>
      <c r="CH562" s="43"/>
      <c r="CK562" s="43"/>
    </row>
    <row r="563" spans="2:89" x14ac:dyDescent="0.25">
      <c r="B563" s="89"/>
      <c r="C563" s="123"/>
      <c r="D563" s="47"/>
      <c r="E563" s="40"/>
      <c r="F563" s="43"/>
      <c r="G563" s="43"/>
      <c r="H563" s="41"/>
      <c r="I563" s="42"/>
      <c r="J563" s="244"/>
      <c r="K563" s="84"/>
      <c r="L563" s="45"/>
      <c r="M563" s="50"/>
      <c r="N563" s="42"/>
      <c r="O563" s="42"/>
      <c r="P563" s="223"/>
      <c r="Q563" s="42"/>
      <c r="R563" s="42"/>
      <c r="S563" s="42"/>
      <c r="T563" s="42"/>
      <c r="U563" s="67"/>
      <c r="V563" s="220"/>
      <c r="W563" s="48"/>
      <c r="X563" s="49"/>
      <c r="Y563" s="43"/>
      <c r="Z563" s="49"/>
      <c r="AA563" s="43"/>
      <c r="AB563" s="43"/>
      <c r="AC563" s="49"/>
      <c r="AE563" s="43"/>
      <c r="AF563" s="69"/>
      <c r="AH563" s="151"/>
      <c r="AI563" s="46"/>
      <c r="AJ563" s="138"/>
      <c r="AK563" s="138"/>
      <c r="AL563" s="138"/>
      <c r="AM563" s="42"/>
      <c r="AO563" s="42"/>
      <c r="AQ563" s="43"/>
      <c r="AR563" s="43"/>
      <c r="AS563" s="44"/>
      <c r="AT563" s="152"/>
      <c r="AU563" s="44"/>
      <c r="AW563" s="42"/>
      <c r="AX563" s="42"/>
      <c r="AY563" s="45"/>
      <c r="AZ563" s="47"/>
      <c r="BG563" s="43"/>
      <c r="BI563" s="43"/>
      <c r="BJ563" s="43"/>
      <c r="BK563" s="43"/>
      <c r="BL563" s="43"/>
      <c r="BM563" s="43"/>
      <c r="BO563" s="43"/>
      <c r="BR563" s="43"/>
      <c r="BS563" s="43"/>
      <c r="BW563" s="43"/>
      <c r="CC563" s="43"/>
      <c r="CE563" s="43"/>
      <c r="CF563" s="43"/>
      <c r="CH563" s="43"/>
      <c r="CK563" s="43"/>
    </row>
    <row r="564" spans="2:89" x14ac:dyDescent="0.25">
      <c r="B564" s="89"/>
      <c r="C564" s="123"/>
      <c r="D564" s="47"/>
      <c r="E564" s="40"/>
      <c r="F564" s="43"/>
      <c r="G564" s="43"/>
      <c r="H564" s="41"/>
      <c r="I564" s="42"/>
      <c r="J564" s="245"/>
      <c r="K564" s="84"/>
      <c r="L564" s="45"/>
      <c r="M564" s="50"/>
      <c r="N564" s="42"/>
      <c r="O564" s="42"/>
      <c r="P564" s="229"/>
      <c r="Q564" s="42"/>
      <c r="R564" s="42"/>
      <c r="S564" s="42"/>
      <c r="T564" s="42"/>
      <c r="U564" s="67"/>
      <c r="V564" s="220"/>
      <c r="W564" s="48"/>
      <c r="X564" s="49"/>
      <c r="Y564" s="43"/>
      <c r="Z564" s="49"/>
      <c r="AA564" s="43"/>
      <c r="AB564" s="43"/>
      <c r="AC564" s="49"/>
      <c r="AE564" s="43"/>
      <c r="AF564" s="69"/>
      <c r="AH564" s="151"/>
      <c r="AI564" s="46"/>
      <c r="AJ564" s="138"/>
      <c r="AK564" s="138"/>
      <c r="AL564" s="138"/>
      <c r="AM564" s="42"/>
      <c r="AO564" s="42"/>
      <c r="AQ564" s="43"/>
      <c r="AR564" s="43"/>
      <c r="AS564" s="44"/>
      <c r="AT564" s="152"/>
      <c r="AU564" s="44"/>
      <c r="AW564" s="42"/>
      <c r="AX564" s="42"/>
      <c r="AY564" s="45"/>
      <c r="AZ564" s="47"/>
      <c r="BG564" s="43"/>
      <c r="BI564" s="43"/>
      <c r="BJ564" s="43"/>
      <c r="BK564" s="43"/>
      <c r="BL564" s="43"/>
      <c r="BM564" s="43"/>
      <c r="BO564" s="43"/>
      <c r="BR564" s="43"/>
      <c r="BS564" s="43"/>
      <c r="BW564" s="43"/>
      <c r="CC564" s="43"/>
      <c r="CE564" s="43"/>
      <c r="CF564" s="43"/>
      <c r="CH564" s="43"/>
      <c r="CK564" s="43"/>
    </row>
    <row r="565" spans="2:89" x14ac:dyDescent="0.25">
      <c r="B565" s="89"/>
      <c r="C565" s="123"/>
      <c r="D565" s="47"/>
      <c r="E565" s="40"/>
      <c r="F565" s="43"/>
      <c r="G565" s="43"/>
      <c r="H565" s="41"/>
      <c r="I565" s="42"/>
      <c r="J565" s="244"/>
      <c r="K565" s="84"/>
      <c r="L565" s="45"/>
      <c r="M565" s="50"/>
      <c r="N565" s="42"/>
      <c r="O565" s="42"/>
      <c r="P565" s="229"/>
      <c r="Q565" s="42"/>
      <c r="R565" s="42"/>
      <c r="S565" s="42"/>
      <c r="T565" s="42"/>
      <c r="U565" s="67"/>
      <c r="V565" s="220"/>
      <c r="W565" s="48"/>
      <c r="X565" s="49"/>
      <c r="Y565" s="43"/>
      <c r="Z565" s="49"/>
      <c r="AA565" s="43"/>
      <c r="AB565" s="43"/>
      <c r="AC565" s="49"/>
      <c r="AE565" s="43"/>
      <c r="AF565" s="69"/>
      <c r="AH565" s="151"/>
      <c r="AI565" s="46"/>
      <c r="AJ565" s="138"/>
      <c r="AK565" s="138"/>
      <c r="AL565" s="138"/>
      <c r="AM565" s="42"/>
      <c r="AO565" s="42"/>
      <c r="AQ565" s="43"/>
      <c r="AR565" s="43"/>
      <c r="AS565" s="44"/>
      <c r="AT565" s="152"/>
      <c r="AU565" s="44"/>
      <c r="AW565" s="42"/>
      <c r="AX565" s="42"/>
      <c r="AY565" s="45"/>
      <c r="AZ565" s="47"/>
      <c r="BG565" s="43"/>
      <c r="BI565" s="43"/>
      <c r="BJ565" s="43"/>
      <c r="BK565" s="43"/>
      <c r="BL565" s="43"/>
      <c r="BM565" s="43"/>
      <c r="BO565" s="43"/>
      <c r="BR565" s="43"/>
      <c r="BS565" s="43"/>
      <c r="BW565" s="43"/>
      <c r="CC565" s="43"/>
      <c r="CE565" s="43"/>
      <c r="CF565" s="43"/>
      <c r="CH565" s="43"/>
      <c r="CK565" s="43"/>
    </row>
    <row r="566" spans="2:89" ht="15.75" customHeight="1" x14ac:dyDescent="0.25">
      <c r="B566" s="89"/>
      <c r="C566" s="123"/>
      <c r="D566" s="47"/>
      <c r="E566" s="40"/>
      <c r="F566" s="43"/>
      <c r="G566" s="43"/>
      <c r="H566" s="41"/>
      <c r="I566" s="42"/>
      <c r="J566" s="42"/>
      <c r="K566" s="84"/>
      <c r="L566" s="45"/>
      <c r="M566" s="50"/>
      <c r="N566" s="42"/>
      <c r="O566" s="42"/>
      <c r="P566" s="229"/>
      <c r="Q566" s="42"/>
      <c r="R566" s="42"/>
      <c r="S566" s="42"/>
      <c r="T566" s="42"/>
      <c r="U566" s="67"/>
      <c r="V566" s="220"/>
      <c r="W566" s="48"/>
      <c r="X566" s="49"/>
      <c r="Y566" s="43"/>
      <c r="Z566" s="49"/>
      <c r="AA566" s="43"/>
      <c r="AB566" s="43"/>
      <c r="AC566" s="49"/>
      <c r="AE566" s="43"/>
      <c r="AF566" s="69"/>
      <c r="AI566" s="46"/>
      <c r="AJ566" s="138"/>
      <c r="AK566" s="138"/>
      <c r="AL566" s="138"/>
      <c r="AM566" s="42"/>
      <c r="AO566" s="42"/>
      <c r="AQ566" s="43"/>
      <c r="AR566" s="43"/>
      <c r="AS566" s="44"/>
      <c r="AT566" s="44"/>
      <c r="AU566" s="44"/>
      <c r="AW566" s="42"/>
      <c r="AX566" s="42"/>
      <c r="AY566" s="45"/>
      <c r="AZ566" s="47"/>
      <c r="BG566" s="43"/>
      <c r="BI566" s="43"/>
      <c r="BJ566" s="43"/>
      <c r="BK566" s="43"/>
      <c r="BL566" s="43"/>
      <c r="BM566" s="43"/>
      <c r="BO566" s="43"/>
      <c r="BR566" s="43"/>
      <c r="BS566" s="43"/>
      <c r="BW566" s="43"/>
      <c r="CC566" s="43"/>
      <c r="CE566" s="43"/>
      <c r="CF566" s="43"/>
      <c r="CH566" s="43"/>
      <c r="CK566" s="43"/>
    </row>
    <row r="567" spans="2:89" x14ac:dyDescent="0.25">
      <c r="B567" s="89"/>
      <c r="C567" s="123"/>
      <c r="D567" s="47"/>
      <c r="E567" s="40"/>
      <c r="F567" s="43"/>
      <c r="G567" s="43"/>
      <c r="H567" s="41"/>
      <c r="I567" s="42"/>
      <c r="J567" s="42"/>
      <c r="K567" s="84"/>
      <c r="L567" s="45"/>
      <c r="M567" s="50"/>
      <c r="N567" s="42"/>
      <c r="O567" s="42"/>
      <c r="P567" s="223"/>
      <c r="Q567" s="42"/>
      <c r="R567" s="42"/>
      <c r="S567" s="42"/>
      <c r="T567" s="42"/>
      <c r="U567" s="67"/>
      <c r="V567" s="220"/>
      <c r="W567" s="48"/>
      <c r="X567" s="49"/>
      <c r="Y567" s="43"/>
      <c r="Z567" s="49"/>
      <c r="AA567" s="43"/>
      <c r="AB567" s="43"/>
      <c r="AC567" s="49"/>
      <c r="AE567" s="43"/>
      <c r="AF567" s="69"/>
      <c r="AI567" s="46"/>
      <c r="AJ567" s="138"/>
      <c r="AK567" s="138"/>
      <c r="AL567" s="138"/>
      <c r="AM567" s="42"/>
      <c r="AO567" s="42"/>
      <c r="AQ567" s="43"/>
      <c r="AR567" s="43"/>
      <c r="AS567" s="44"/>
      <c r="AT567" s="44"/>
      <c r="AU567" s="44"/>
      <c r="AW567" s="42"/>
      <c r="AX567" s="42"/>
      <c r="AY567" s="45"/>
      <c r="AZ567" s="47"/>
      <c r="BG567" s="43"/>
      <c r="BI567" s="43"/>
      <c r="BJ567" s="43"/>
      <c r="BK567" s="43"/>
      <c r="BL567" s="43"/>
      <c r="BM567" s="43"/>
      <c r="BO567" s="43"/>
      <c r="BR567" s="43"/>
      <c r="BS567" s="43"/>
      <c r="BW567" s="43"/>
      <c r="CC567" s="43"/>
      <c r="CE567" s="43"/>
      <c r="CF567" s="43"/>
      <c r="CH567" s="43"/>
      <c r="CK567" s="43"/>
    </row>
    <row r="568" spans="2:89" x14ac:dyDescent="0.25">
      <c r="B568" s="89"/>
      <c r="C568" s="123"/>
      <c r="D568" s="47"/>
      <c r="E568" s="40"/>
      <c r="F568" s="43"/>
      <c r="G568" s="43"/>
      <c r="H568" s="41"/>
      <c r="I568" s="42"/>
      <c r="J568" s="42"/>
      <c r="K568" s="84"/>
      <c r="L568" s="45"/>
      <c r="M568" s="50"/>
      <c r="N568" s="42"/>
      <c r="O568" s="42"/>
      <c r="P568" s="229"/>
      <c r="Q568" s="42"/>
      <c r="R568" s="42"/>
      <c r="S568" s="42"/>
      <c r="T568" s="42"/>
      <c r="U568" s="67"/>
      <c r="V568" s="220"/>
      <c r="W568" s="48"/>
      <c r="X568" s="49"/>
      <c r="Y568" s="43"/>
      <c r="Z568" s="49"/>
      <c r="AA568" s="43"/>
      <c r="AB568" s="43"/>
      <c r="AC568" s="49"/>
      <c r="AE568" s="43"/>
      <c r="AF568" s="69"/>
      <c r="AI568" s="46"/>
      <c r="AJ568" s="138"/>
      <c r="AK568" s="138"/>
      <c r="AL568" s="138"/>
      <c r="AM568" s="42"/>
      <c r="AO568" s="42"/>
      <c r="AQ568" s="43"/>
      <c r="AR568" s="43"/>
      <c r="AS568" s="44"/>
      <c r="AT568" s="44"/>
      <c r="AU568" s="44"/>
      <c r="AW568" s="42"/>
      <c r="AX568" s="42"/>
      <c r="AY568" s="45"/>
      <c r="AZ568" s="47"/>
      <c r="BG568" s="43"/>
      <c r="BI568" s="43"/>
      <c r="BJ568" s="43"/>
      <c r="BK568" s="43"/>
      <c r="BL568" s="43"/>
      <c r="BM568" s="43"/>
      <c r="BO568" s="43"/>
      <c r="BR568" s="43"/>
      <c r="BS568" s="43"/>
      <c r="BW568" s="43"/>
      <c r="CC568" s="43"/>
      <c r="CE568" s="43"/>
      <c r="CF568" s="43"/>
      <c r="CH568" s="43"/>
      <c r="CK568" s="43"/>
    </row>
    <row r="569" spans="2:89" x14ac:dyDescent="0.25">
      <c r="B569" s="89"/>
      <c r="C569" s="126"/>
      <c r="D569" s="47"/>
      <c r="E569" s="40"/>
      <c r="F569" s="43"/>
      <c r="G569" s="43"/>
      <c r="H569" s="41"/>
      <c r="I569" s="42"/>
      <c r="J569" s="42"/>
      <c r="K569" s="84"/>
      <c r="L569" s="45"/>
      <c r="M569" s="43"/>
      <c r="N569" s="42"/>
      <c r="O569" s="42"/>
      <c r="P569" s="200"/>
      <c r="Q569" s="42"/>
      <c r="R569" s="42"/>
      <c r="S569" s="42"/>
      <c r="T569" s="42"/>
      <c r="U569" s="67"/>
      <c r="V569" s="234"/>
      <c r="W569" s="48"/>
      <c r="X569" s="49"/>
      <c r="Y569" s="43"/>
      <c r="Z569" s="49"/>
      <c r="AA569" s="43"/>
      <c r="AB569" s="43"/>
      <c r="AC569" s="49"/>
      <c r="AE569" s="43"/>
      <c r="AF569" s="69"/>
      <c r="AI569" s="46"/>
      <c r="AJ569" s="138"/>
      <c r="AK569" s="138"/>
      <c r="AL569" s="138"/>
      <c r="AM569" s="42"/>
      <c r="AO569" s="42"/>
      <c r="AQ569" s="43"/>
      <c r="AR569" s="43"/>
      <c r="AS569" s="44"/>
      <c r="AT569" s="44"/>
      <c r="AU569" s="44"/>
      <c r="AW569" s="42"/>
      <c r="AX569" s="42"/>
      <c r="AY569" s="45"/>
      <c r="AZ569" s="47"/>
      <c r="BG569" s="43"/>
      <c r="BI569" s="43"/>
      <c r="BJ569" s="43"/>
      <c r="BK569" s="43"/>
      <c r="BL569" s="43"/>
      <c r="BM569" s="43"/>
      <c r="BO569" s="43"/>
      <c r="BR569" s="43"/>
      <c r="BS569" s="43"/>
      <c r="BW569" s="43"/>
      <c r="CC569" s="43"/>
      <c r="CE569" s="43"/>
      <c r="CF569" s="43"/>
      <c r="CH569" s="43"/>
      <c r="CK569" s="43"/>
    </row>
    <row r="570" spans="2:89" ht="15.75" customHeight="1" x14ac:dyDescent="0.25">
      <c r="B570" s="89"/>
      <c r="C570" s="123"/>
      <c r="D570" s="47"/>
      <c r="E570" s="40"/>
      <c r="F570" s="43"/>
      <c r="G570" s="43"/>
      <c r="H570" s="41"/>
      <c r="I570" s="42"/>
      <c r="J570" s="42"/>
      <c r="K570" s="84"/>
      <c r="L570" s="45"/>
      <c r="M570" s="43"/>
      <c r="N570" s="42"/>
      <c r="O570" s="42"/>
      <c r="P570" s="42"/>
      <c r="Q570" s="42"/>
      <c r="R570" s="42"/>
      <c r="S570" s="42"/>
      <c r="T570" s="42"/>
      <c r="U570" s="67"/>
      <c r="V570" s="220"/>
      <c r="W570" s="48"/>
      <c r="X570" s="49"/>
      <c r="Y570" s="43"/>
      <c r="Z570" s="49"/>
      <c r="AA570" s="43"/>
      <c r="AB570" s="43"/>
      <c r="AC570" s="49"/>
      <c r="AE570" s="43"/>
      <c r="AF570" s="69"/>
      <c r="AI570" s="46"/>
      <c r="AJ570" s="138"/>
      <c r="AK570" s="138"/>
      <c r="AL570" s="138"/>
      <c r="AM570" s="42"/>
      <c r="AO570" s="42"/>
      <c r="AQ570" s="43"/>
      <c r="AR570" s="43"/>
      <c r="AS570" s="44"/>
      <c r="AT570" s="44"/>
      <c r="AU570" s="44"/>
      <c r="AW570" s="42"/>
      <c r="AX570" s="42"/>
      <c r="AY570" s="45"/>
      <c r="AZ570" s="47"/>
      <c r="BG570" s="43"/>
      <c r="BI570" s="43"/>
      <c r="BJ570" s="43"/>
      <c r="BK570" s="43"/>
      <c r="BL570" s="43"/>
      <c r="BM570" s="43"/>
      <c r="BO570" s="43"/>
      <c r="BR570" s="43"/>
      <c r="BS570" s="43"/>
      <c r="BW570" s="43"/>
      <c r="CC570" s="43"/>
      <c r="CE570" s="43"/>
      <c r="CF570" s="43"/>
      <c r="CH570" s="43"/>
      <c r="CK570" s="43"/>
    </row>
    <row r="571" spans="2:89" x14ac:dyDescent="0.25">
      <c r="B571" s="89"/>
      <c r="C571" s="123"/>
      <c r="D571" s="47"/>
      <c r="E571" s="40"/>
      <c r="F571" s="43"/>
      <c r="G571" s="43"/>
      <c r="H571" s="41"/>
      <c r="I571" s="42"/>
      <c r="J571" s="42"/>
      <c r="K571" s="84"/>
      <c r="L571" s="45"/>
      <c r="M571" s="50"/>
      <c r="N571" s="42"/>
      <c r="O571" s="42"/>
      <c r="P571" s="42"/>
      <c r="Q571" s="42"/>
      <c r="R571" s="42"/>
      <c r="S571" s="42"/>
      <c r="T571" s="42"/>
      <c r="U571" s="67"/>
      <c r="V571" s="234"/>
      <c r="W571" s="48"/>
      <c r="X571" s="49"/>
      <c r="Y571" s="43"/>
      <c r="Z571" s="49"/>
      <c r="AA571" s="43"/>
      <c r="AB571" s="43"/>
      <c r="AC571" s="49"/>
      <c r="AE571" s="43"/>
      <c r="AF571" s="69"/>
      <c r="AI571" s="46"/>
      <c r="AJ571" s="138"/>
      <c r="AK571" s="138"/>
      <c r="AL571" s="138"/>
      <c r="AM571" s="42"/>
      <c r="AO571" s="42"/>
      <c r="AQ571" s="43"/>
      <c r="AR571" s="43"/>
      <c r="AS571" s="44"/>
      <c r="AT571" s="44"/>
      <c r="AU571" s="44"/>
      <c r="AW571" s="42"/>
      <c r="AX571" s="42"/>
      <c r="AY571" s="45"/>
      <c r="AZ571" s="47"/>
      <c r="BG571" s="43"/>
      <c r="BI571" s="43"/>
      <c r="BJ571" s="43"/>
      <c r="BK571" s="43"/>
      <c r="BL571" s="43"/>
      <c r="BM571" s="43"/>
      <c r="BO571" s="43"/>
      <c r="BR571" s="43"/>
      <c r="BS571" s="43"/>
      <c r="BW571" s="43"/>
      <c r="CC571" s="43"/>
      <c r="CE571" s="43"/>
      <c r="CF571" s="43"/>
      <c r="CH571" s="43"/>
      <c r="CK571" s="43"/>
    </row>
    <row r="572" spans="2:89" x14ac:dyDescent="0.25">
      <c r="B572" s="89"/>
      <c r="C572" s="126"/>
      <c r="D572" s="47"/>
      <c r="E572" s="40"/>
      <c r="F572" s="43"/>
      <c r="G572" s="43"/>
      <c r="H572" s="41"/>
      <c r="I572" s="42"/>
      <c r="J572" s="42"/>
      <c r="K572" s="84"/>
      <c r="L572" s="45"/>
      <c r="M572" s="50"/>
      <c r="N572" s="42"/>
      <c r="O572" s="42"/>
      <c r="P572" s="42"/>
      <c r="Q572" s="42"/>
      <c r="R572" s="42"/>
      <c r="S572" s="42"/>
      <c r="T572" s="42"/>
      <c r="U572" s="67"/>
      <c r="V572" s="220"/>
      <c r="W572" s="48"/>
      <c r="X572" s="49"/>
      <c r="Y572" s="43"/>
      <c r="Z572" s="49"/>
      <c r="AA572" s="43"/>
      <c r="AB572" s="43"/>
      <c r="AC572" s="49"/>
      <c r="AE572" s="43"/>
      <c r="AF572" s="69"/>
      <c r="AI572" s="46"/>
      <c r="AJ572" s="138"/>
      <c r="AK572" s="138"/>
      <c r="AL572" s="138"/>
      <c r="AM572" s="42"/>
      <c r="AO572" s="42"/>
      <c r="AQ572" s="43"/>
      <c r="AR572" s="43"/>
      <c r="AS572" s="44"/>
      <c r="AT572" s="44"/>
      <c r="AU572" s="44"/>
      <c r="AW572" s="42"/>
      <c r="AX572" s="42"/>
      <c r="AY572" s="45"/>
      <c r="AZ572" s="47"/>
      <c r="BG572" s="43"/>
      <c r="BI572" s="43"/>
      <c r="BJ572" s="43"/>
      <c r="BK572" s="43"/>
      <c r="BL572" s="43"/>
      <c r="BM572" s="43"/>
      <c r="BO572" s="43"/>
      <c r="BR572" s="43"/>
      <c r="BS572" s="43"/>
      <c r="BW572" s="43"/>
      <c r="CC572" s="43"/>
      <c r="CE572" s="43"/>
      <c r="CF572" s="43"/>
      <c r="CH572" s="43"/>
      <c r="CK572" s="43"/>
    </row>
    <row r="573" spans="2:89" x14ac:dyDescent="0.25">
      <c r="B573" s="89"/>
      <c r="C573" s="126"/>
      <c r="D573" s="47"/>
      <c r="E573" s="40"/>
      <c r="F573" s="43"/>
      <c r="G573" s="43"/>
      <c r="H573" s="41"/>
      <c r="I573" s="42"/>
      <c r="J573" s="42"/>
      <c r="K573" s="84"/>
      <c r="L573" s="45"/>
      <c r="M573" s="50"/>
      <c r="N573" s="42"/>
      <c r="O573" s="42"/>
      <c r="P573" s="42"/>
      <c r="Q573" s="42"/>
      <c r="R573" s="42"/>
      <c r="S573" s="42"/>
      <c r="T573" s="42"/>
      <c r="U573" s="67"/>
      <c r="V573" s="220"/>
      <c r="W573" s="48"/>
      <c r="X573" s="49"/>
      <c r="Y573" s="43"/>
      <c r="Z573" s="49"/>
      <c r="AA573" s="43"/>
      <c r="AB573" s="43"/>
      <c r="AC573" s="49"/>
      <c r="AE573" s="43"/>
      <c r="AF573" s="69"/>
      <c r="AI573" s="46"/>
      <c r="AJ573" s="138"/>
      <c r="AK573" s="138"/>
      <c r="AL573" s="138"/>
      <c r="AM573" s="42"/>
      <c r="AO573" s="42"/>
      <c r="AQ573" s="43"/>
      <c r="AR573" s="43"/>
      <c r="AS573" s="44"/>
      <c r="AT573" s="44"/>
      <c r="AU573" s="44"/>
      <c r="AW573" s="42"/>
      <c r="AX573" s="42"/>
      <c r="AY573" s="45"/>
      <c r="AZ573" s="47"/>
      <c r="BG573" s="43"/>
      <c r="BI573" s="43"/>
      <c r="BJ573" s="43"/>
      <c r="BK573" s="43"/>
      <c r="BL573" s="43"/>
      <c r="BM573" s="43"/>
      <c r="BO573" s="43"/>
      <c r="BR573" s="43"/>
      <c r="BS573" s="43"/>
      <c r="BW573" s="43"/>
      <c r="CC573" s="43"/>
      <c r="CE573" s="43"/>
      <c r="CF573" s="43"/>
      <c r="CH573" s="43"/>
      <c r="CK573" s="43"/>
    </row>
    <row r="574" spans="2:89" x14ac:dyDescent="0.25">
      <c r="B574" s="89"/>
      <c r="C574" s="123"/>
      <c r="D574" s="47"/>
      <c r="E574" s="40"/>
      <c r="F574" s="43"/>
      <c r="G574" s="43"/>
      <c r="H574" s="41"/>
      <c r="I574" s="42"/>
      <c r="J574" s="42"/>
      <c r="K574" s="84"/>
      <c r="L574" s="45"/>
      <c r="M574" s="50"/>
      <c r="N574" s="42"/>
      <c r="O574" s="42"/>
      <c r="P574" s="42"/>
      <c r="Q574" s="42"/>
      <c r="R574" s="42"/>
      <c r="S574" s="42"/>
      <c r="T574" s="42"/>
      <c r="U574" s="67"/>
      <c r="V574" s="234"/>
      <c r="W574" s="48"/>
      <c r="X574" s="49"/>
      <c r="Y574" s="43"/>
      <c r="Z574" s="49"/>
      <c r="AA574" s="43"/>
      <c r="AB574" s="43"/>
      <c r="AC574" s="49"/>
      <c r="AE574" s="43"/>
      <c r="AF574" s="69"/>
      <c r="AI574" s="46"/>
      <c r="AJ574" s="138"/>
      <c r="AK574" s="138"/>
      <c r="AL574" s="138"/>
      <c r="AM574" s="42"/>
      <c r="AO574" s="42"/>
      <c r="AQ574" s="43"/>
      <c r="AR574" s="43"/>
      <c r="AS574" s="44"/>
      <c r="AT574" s="44"/>
      <c r="AU574" s="44"/>
      <c r="AW574" s="42"/>
      <c r="AX574" s="42"/>
      <c r="AY574" s="45"/>
      <c r="AZ574" s="47"/>
      <c r="BG574" s="43"/>
      <c r="BI574" s="43"/>
      <c r="BJ574" s="43"/>
      <c r="BK574" s="43"/>
      <c r="BL574" s="43"/>
      <c r="BM574" s="43"/>
      <c r="BO574" s="43"/>
      <c r="BR574" s="43"/>
      <c r="BS574" s="43"/>
      <c r="BW574" s="43"/>
      <c r="CC574" s="43"/>
      <c r="CE574" s="43"/>
      <c r="CF574" s="43"/>
      <c r="CH574" s="43"/>
      <c r="CK574" s="43"/>
    </row>
    <row r="575" spans="2:89" x14ac:dyDescent="0.25">
      <c r="B575" s="89"/>
      <c r="C575" s="126"/>
      <c r="D575" s="47"/>
      <c r="E575" s="40"/>
      <c r="F575" s="43"/>
      <c r="G575" s="43"/>
      <c r="H575" s="41"/>
      <c r="I575" s="42"/>
      <c r="J575" s="42"/>
      <c r="K575" s="84"/>
      <c r="L575" s="45"/>
      <c r="M575" s="50"/>
      <c r="N575" s="42"/>
      <c r="O575" s="42"/>
      <c r="P575" s="42"/>
      <c r="Q575" s="42"/>
      <c r="R575" s="42"/>
      <c r="S575" s="42"/>
      <c r="T575" s="42"/>
      <c r="U575" s="67"/>
      <c r="V575" s="220"/>
      <c r="W575" s="48"/>
      <c r="X575" s="49"/>
      <c r="Y575" s="43"/>
      <c r="Z575" s="49"/>
      <c r="AA575" s="43"/>
      <c r="AB575" s="43"/>
      <c r="AC575" s="49"/>
      <c r="AE575" s="43"/>
      <c r="AF575" s="69"/>
      <c r="AI575" s="46"/>
      <c r="AJ575" s="138"/>
      <c r="AK575" s="138"/>
      <c r="AL575" s="138"/>
      <c r="AM575" s="42"/>
      <c r="AO575" s="42"/>
      <c r="AQ575" s="43"/>
      <c r="AR575" s="43"/>
      <c r="AS575" s="44"/>
      <c r="AT575" s="44"/>
      <c r="AU575" s="44"/>
      <c r="AW575" s="42"/>
      <c r="AX575" s="42"/>
      <c r="AY575" s="45"/>
      <c r="AZ575" s="47"/>
      <c r="BG575" s="43"/>
      <c r="BI575" s="43"/>
      <c r="BJ575" s="43"/>
      <c r="BK575" s="43"/>
      <c r="BL575" s="43"/>
      <c r="BM575" s="43"/>
      <c r="BO575" s="43"/>
      <c r="BR575" s="43"/>
      <c r="BS575" s="43"/>
      <c r="BW575" s="43"/>
      <c r="CC575" s="43"/>
      <c r="CE575" s="43"/>
      <c r="CF575" s="43"/>
      <c r="CH575" s="43"/>
      <c r="CK575" s="43"/>
    </row>
    <row r="576" spans="2:89" x14ac:dyDescent="0.25">
      <c r="B576" s="89"/>
      <c r="C576" s="123"/>
      <c r="D576" s="47"/>
      <c r="E576" s="40"/>
      <c r="F576" s="43"/>
      <c r="G576" s="43"/>
      <c r="H576" s="41"/>
      <c r="I576" s="42"/>
      <c r="J576" s="42"/>
      <c r="K576" s="84"/>
      <c r="L576" s="45"/>
      <c r="M576" s="50"/>
      <c r="N576" s="42"/>
      <c r="O576" s="42"/>
      <c r="P576" s="42"/>
      <c r="Q576" s="42"/>
      <c r="R576" s="42"/>
      <c r="S576" s="42"/>
      <c r="T576" s="42"/>
      <c r="U576" s="67"/>
      <c r="V576" s="220"/>
      <c r="W576" s="48"/>
      <c r="X576" s="49"/>
      <c r="Y576" s="43"/>
      <c r="Z576" s="49"/>
      <c r="AA576" s="43"/>
      <c r="AB576" s="43"/>
      <c r="AC576" s="49"/>
      <c r="AE576" s="43"/>
      <c r="AF576" s="69"/>
      <c r="AI576" s="46"/>
      <c r="AJ576" s="138"/>
      <c r="AK576" s="138"/>
      <c r="AL576" s="138"/>
      <c r="AM576" s="42"/>
      <c r="AO576" s="42"/>
      <c r="AQ576" s="43"/>
      <c r="AR576" s="43"/>
      <c r="AS576" s="44"/>
      <c r="AT576" s="44"/>
      <c r="AU576" s="44"/>
      <c r="AW576" s="42"/>
      <c r="AX576" s="42"/>
      <c r="AY576" s="45"/>
      <c r="AZ576" s="47"/>
      <c r="BG576" s="43"/>
      <c r="BI576" s="43"/>
      <c r="BJ576" s="43"/>
      <c r="BK576" s="43"/>
      <c r="BL576" s="43"/>
      <c r="BM576" s="43"/>
      <c r="BO576" s="43"/>
      <c r="BR576" s="43"/>
      <c r="BS576" s="43"/>
      <c r="BW576" s="43"/>
      <c r="CC576" s="43"/>
      <c r="CE576" s="43"/>
      <c r="CF576" s="43"/>
      <c r="CH576" s="43"/>
      <c r="CK576" s="43"/>
    </row>
    <row r="577" spans="2:89" x14ac:dyDescent="0.25">
      <c r="B577" s="89"/>
      <c r="C577" s="126"/>
      <c r="D577" s="47"/>
      <c r="E577" s="40"/>
      <c r="F577" s="43"/>
      <c r="G577" s="43"/>
      <c r="H577" s="41"/>
      <c r="I577" s="42"/>
      <c r="J577" s="42"/>
      <c r="K577" s="84"/>
      <c r="L577" s="45"/>
      <c r="M577" s="43"/>
      <c r="N577" s="42"/>
      <c r="O577" s="42"/>
      <c r="P577" s="246"/>
      <c r="Q577" s="42"/>
      <c r="R577" s="42"/>
      <c r="S577" s="42"/>
      <c r="T577" s="42"/>
      <c r="U577" s="67"/>
      <c r="V577" s="220"/>
      <c r="W577" s="48"/>
      <c r="X577" s="49"/>
      <c r="Y577" s="43"/>
      <c r="Z577" s="49"/>
      <c r="AA577" s="43"/>
      <c r="AB577" s="43"/>
      <c r="AC577" s="49"/>
      <c r="AE577" s="43"/>
      <c r="AF577" s="69"/>
      <c r="AI577" s="46"/>
      <c r="AJ577" s="138"/>
      <c r="AK577" s="138"/>
      <c r="AL577" s="138"/>
      <c r="AM577" s="42"/>
      <c r="AO577" s="42"/>
      <c r="AQ577" s="43"/>
      <c r="AR577" s="43"/>
      <c r="AS577" s="44"/>
      <c r="AT577" s="44"/>
      <c r="AU577" s="44"/>
      <c r="AW577" s="42"/>
      <c r="AX577" s="42"/>
      <c r="AY577" s="45"/>
      <c r="AZ577" s="47"/>
      <c r="BG577" s="43"/>
      <c r="BI577" s="43"/>
      <c r="BJ577" s="43"/>
      <c r="BK577" s="43"/>
      <c r="BL577" s="43"/>
      <c r="BM577" s="43"/>
      <c r="BO577" s="43"/>
      <c r="BR577" s="43"/>
      <c r="BS577" s="43"/>
      <c r="BW577" s="43"/>
      <c r="CC577" s="43"/>
      <c r="CE577" s="43"/>
      <c r="CF577" s="43"/>
      <c r="CH577" s="43"/>
      <c r="CK577" s="43"/>
    </row>
    <row r="578" spans="2:89" x14ac:dyDescent="0.25">
      <c r="B578" s="89"/>
      <c r="C578" s="126"/>
      <c r="D578" s="47"/>
      <c r="E578" s="40"/>
      <c r="F578" s="43"/>
      <c r="G578" s="43"/>
      <c r="H578" s="41"/>
      <c r="I578" s="42"/>
      <c r="J578" s="42"/>
      <c r="K578" s="84"/>
      <c r="L578" s="45"/>
      <c r="M578" s="43"/>
      <c r="N578" s="42"/>
      <c r="O578" s="42"/>
      <c r="P578" s="42"/>
      <c r="Q578" s="42"/>
      <c r="R578" s="42"/>
      <c r="S578" s="42"/>
      <c r="T578" s="42"/>
      <c r="U578" s="67"/>
      <c r="V578" s="234"/>
      <c r="W578" s="48"/>
      <c r="X578" s="49"/>
      <c r="Y578" s="43"/>
      <c r="Z578" s="49"/>
      <c r="AA578" s="43"/>
      <c r="AB578" s="43"/>
      <c r="AC578" s="49"/>
      <c r="AE578" s="43"/>
      <c r="AF578" s="69"/>
      <c r="AI578" s="46"/>
      <c r="AJ578" s="138"/>
      <c r="AK578" s="138"/>
      <c r="AL578" s="138"/>
      <c r="AM578" s="42"/>
      <c r="AO578" s="42"/>
      <c r="AQ578" s="43"/>
      <c r="AR578" s="43"/>
      <c r="AS578" s="44"/>
      <c r="AT578" s="44"/>
      <c r="AU578" s="44"/>
      <c r="AW578" s="42"/>
      <c r="AX578" s="42"/>
      <c r="AY578" s="45"/>
      <c r="AZ578" s="47"/>
      <c r="BG578" s="43"/>
      <c r="BI578" s="43"/>
      <c r="BJ578" s="43"/>
      <c r="BK578" s="43"/>
      <c r="BL578" s="43"/>
      <c r="BM578" s="43"/>
      <c r="BO578" s="43"/>
      <c r="BR578" s="43"/>
      <c r="BS578" s="43"/>
      <c r="BW578" s="43"/>
      <c r="CC578" s="43"/>
      <c r="CE578" s="43"/>
      <c r="CF578" s="43"/>
      <c r="CH578" s="43"/>
      <c r="CK578" s="43"/>
    </row>
    <row r="579" spans="2:89" x14ac:dyDescent="0.25">
      <c r="B579" s="89"/>
      <c r="C579" s="126"/>
      <c r="D579" s="47"/>
      <c r="E579" s="40"/>
      <c r="F579" s="43"/>
      <c r="G579" s="43"/>
      <c r="H579" s="41"/>
      <c r="I579" s="42"/>
      <c r="J579" s="42"/>
      <c r="K579" s="84"/>
      <c r="L579" s="45"/>
      <c r="M579" s="50"/>
      <c r="N579" s="42"/>
      <c r="O579" s="42"/>
      <c r="P579" s="42"/>
      <c r="Q579" s="42"/>
      <c r="R579" s="42"/>
      <c r="S579" s="42"/>
      <c r="T579" s="42"/>
      <c r="U579" s="67"/>
      <c r="V579" s="220"/>
      <c r="W579" s="48"/>
      <c r="X579" s="49"/>
      <c r="Y579" s="43"/>
      <c r="Z579" s="49"/>
      <c r="AA579" s="43"/>
      <c r="AB579" s="43"/>
      <c r="AC579" s="49"/>
      <c r="AE579" s="43"/>
      <c r="AF579" s="69"/>
      <c r="AI579" s="46"/>
      <c r="AJ579" s="138"/>
      <c r="AK579" s="138"/>
      <c r="AL579" s="138"/>
      <c r="AM579" s="42"/>
      <c r="AO579" s="42"/>
      <c r="AQ579" s="43"/>
      <c r="AR579" s="43"/>
      <c r="AS579" s="44"/>
      <c r="AT579" s="44"/>
      <c r="AU579" s="44"/>
      <c r="AW579" s="42"/>
      <c r="AX579" s="42"/>
      <c r="AY579" s="45"/>
      <c r="AZ579" s="47"/>
      <c r="BG579" s="43"/>
      <c r="BI579" s="43"/>
      <c r="BJ579" s="43"/>
      <c r="BK579" s="43"/>
      <c r="BL579" s="43"/>
      <c r="BM579" s="43"/>
      <c r="BO579" s="43"/>
      <c r="BR579" s="43"/>
      <c r="BS579" s="43"/>
      <c r="BW579" s="43"/>
      <c r="CC579" s="43"/>
      <c r="CE579" s="43"/>
      <c r="CF579" s="43"/>
      <c r="CH579" s="43"/>
      <c r="CK579" s="43"/>
    </row>
    <row r="580" spans="2:89" x14ac:dyDescent="0.25">
      <c r="B580" s="89"/>
      <c r="C580" s="123"/>
      <c r="D580" s="47"/>
      <c r="E580" s="40"/>
      <c r="F580" s="43"/>
      <c r="G580" s="43"/>
      <c r="H580" s="41"/>
      <c r="I580" s="42"/>
      <c r="J580" s="42"/>
      <c r="K580" s="84"/>
      <c r="L580" s="45"/>
      <c r="M580" s="43"/>
      <c r="N580" s="42"/>
      <c r="O580" s="42"/>
      <c r="P580" s="246"/>
      <c r="Q580" s="42"/>
      <c r="R580" s="42"/>
      <c r="S580" s="42"/>
      <c r="T580" s="42"/>
      <c r="U580" s="67"/>
      <c r="V580" s="222"/>
      <c r="W580" s="48"/>
      <c r="X580" s="49"/>
      <c r="Y580" s="43"/>
      <c r="Z580" s="49"/>
      <c r="AA580" s="43"/>
      <c r="AB580" s="43"/>
      <c r="AC580" s="49"/>
      <c r="AE580" s="43"/>
      <c r="AF580" s="69"/>
      <c r="AI580" s="46"/>
      <c r="AJ580" s="138"/>
      <c r="AK580" s="138"/>
      <c r="AL580" s="138"/>
      <c r="AM580" s="42"/>
      <c r="AO580" s="42"/>
      <c r="AQ580" s="43"/>
      <c r="AR580" s="43"/>
      <c r="AS580" s="44"/>
      <c r="AT580" s="44"/>
      <c r="AU580" s="44"/>
      <c r="AW580" s="42"/>
      <c r="AX580" s="42"/>
      <c r="AY580" s="45"/>
      <c r="AZ580" s="47"/>
      <c r="BG580" s="43"/>
      <c r="BI580" s="43"/>
      <c r="BJ580" s="43"/>
      <c r="BK580" s="43"/>
      <c r="BL580" s="43"/>
      <c r="BM580" s="43"/>
      <c r="BO580" s="43"/>
      <c r="BR580" s="43"/>
      <c r="BS580" s="43"/>
      <c r="BW580" s="43"/>
      <c r="CC580" s="43"/>
      <c r="CE580" s="43"/>
      <c r="CF580" s="43"/>
      <c r="CH580" s="43"/>
      <c r="CK580" s="43"/>
    </row>
    <row r="581" spans="2:89" x14ac:dyDescent="0.25">
      <c r="B581" s="89"/>
      <c r="C581" s="126"/>
      <c r="D581" s="47"/>
      <c r="E581" s="40"/>
      <c r="F581" s="43"/>
      <c r="G581" s="43"/>
      <c r="H581" s="41"/>
      <c r="I581" s="42"/>
      <c r="J581" s="42"/>
      <c r="K581" s="84"/>
      <c r="L581" s="45"/>
      <c r="M581" s="50"/>
      <c r="N581" s="42"/>
      <c r="O581" s="42"/>
      <c r="P581" s="42"/>
      <c r="Q581" s="42"/>
      <c r="R581" s="42"/>
      <c r="S581" s="42"/>
      <c r="T581" s="42"/>
      <c r="U581" s="67"/>
      <c r="V581" s="220"/>
      <c r="W581" s="48"/>
      <c r="X581" s="49"/>
      <c r="Y581" s="43"/>
      <c r="Z581" s="49"/>
      <c r="AA581" s="43"/>
      <c r="AB581" s="43"/>
      <c r="AC581" s="49"/>
      <c r="AE581" s="43"/>
      <c r="AF581" s="69"/>
      <c r="AI581" s="46"/>
      <c r="AJ581" s="138"/>
      <c r="AK581" s="138"/>
      <c r="AL581" s="138"/>
      <c r="AM581" s="42"/>
      <c r="AO581" s="42"/>
      <c r="AQ581" s="43"/>
      <c r="AR581" s="43"/>
      <c r="AS581" s="44"/>
      <c r="AT581" s="44"/>
      <c r="AU581" s="44"/>
      <c r="AW581" s="42"/>
      <c r="AX581" s="42"/>
      <c r="AY581" s="45"/>
      <c r="AZ581" s="47"/>
      <c r="BG581" s="43"/>
      <c r="BI581" s="43"/>
      <c r="BJ581" s="43"/>
      <c r="BK581" s="43"/>
      <c r="BL581" s="43"/>
      <c r="BM581" s="43"/>
      <c r="BO581" s="43"/>
      <c r="BR581" s="43"/>
      <c r="BS581" s="43"/>
      <c r="BW581" s="43"/>
      <c r="CC581" s="43"/>
      <c r="CE581" s="43"/>
      <c r="CF581" s="43"/>
      <c r="CH581" s="43"/>
      <c r="CK581" s="43"/>
    </row>
    <row r="582" spans="2:89" x14ac:dyDescent="0.25">
      <c r="B582" s="89"/>
      <c r="C582" s="126"/>
      <c r="D582" s="47"/>
      <c r="E582" s="40"/>
      <c r="F582" s="43"/>
      <c r="G582" s="43"/>
      <c r="H582" s="41"/>
      <c r="I582" s="42"/>
      <c r="J582" s="42"/>
      <c r="K582" s="84"/>
      <c r="L582" s="45"/>
      <c r="M582" s="50"/>
      <c r="N582" s="42"/>
      <c r="O582" s="42"/>
      <c r="P582" s="42"/>
      <c r="Q582" s="42"/>
      <c r="R582" s="42"/>
      <c r="S582" s="42"/>
      <c r="T582" s="42"/>
      <c r="U582" s="67"/>
      <c r="V582" s="234"/>
      <c r="W582" s="48"/>
      <c r="X582" s="49"/>
      <c r="Y582" s="43"/>
      <c r="Z582" s="49"/>
      <c r="AA582" s="43"/>
      <c r="AB582" s="43"/>
      <c r="AC582" s="49"/>
      <c r="AE582" s="43"/>
      <c r="AF582" s="69"/>
      <c r="AI582" s="46"/>
      <c r="AJ582" s="138"/>
      <c r="AK582" s="138"/>
      <c r="AL582" s="138"/>
      <c r="AM582" s="42"/>
      <c r="AO582" s="42"/>
      <c r="AQ582" s="43"/>
      <c r="AR582" s="43"/>
      <c r="AS582" s="44"/>
      <c r="AT582" s="44"/>
      <c r="AU582" s="44"/>
      <c r="AW582" s="42"/>
      <c r="AX582" s="42"/>
      <c r="AY582" s="45"/>
      <c r="AZ582" s="47"/>
      <c r="BG582" s="43"/>
      <c r="BI582" s="43"/>
      <c r="BJ582" s="43"/>
      <c r="BK582" s="43"/>
      <c r="BL582" s="43"/>
      <c r="BM582" s="43"/>
      <c r="BO582" s="43"/>
      <c r="BR582" s="43"/>
      <c r="BS582" s="43"/>
      <c r="BW582" s="43"/>
      <c r="CC582" s="43"/>
      <c r="CE582" s="43"/>
      <c r="CF582" s="43"/>
      <c r="CH582" s="43"/>
      <c r="CK582" s="43"/>
    </row>
    <row r="583" spans="2:89" x14ac:dyDescent="0.25">
      <c r="B583" s="89"/>
      <c r="C583" s="126"/>
      <c r="D583" s="47"/>
      <c r="E583" s="40"/>
      <c r="F583" s="43"/>
      <c r="G583" s="43"/>
      <c r="H583" s="41"/>
      <c r="I583" s="42"/>
      <c r="J583" s="42"/>
      <c r="K583" s="84"/>
      <c r="L583" s="45"/>
      <c r="M583" s="50"/>
      <c r="N583" s="42"/>
      <c r="O583" s="42"/>
      <c r="P583" s="42"/>
      <c r="Q583" s="42"/>
      <c r="R583" s="42"/>
      <c r="S583" s="42"/>
      <c r="T583" s="42"/>
      <c r="U583" s="67"/>
      <c r="V583" s="220"/>
      <c r="W583" s="48"/>
      <c r="X583" s="49"/>
      <c r="Y583" s="43"/>
      <c r="Z583" s="49"/>
      <c r="AA583" s="43"/>
      <c r="AB583" s="43"/>
      <c r="AC583" s="49"/>
      <c r="AE583" s="43"/>
      <c r="AF583" s="69"/>
      <c r="AI583" s="46"/>
      <c r="AJ583" s="138"/>
      <c r="AK583" s="138"/>
      <c r="AL583" s="138"/>
      <c r="AM583" s="42"/>
      <c r="AO583" s="42"/>
      <c r="AQ583" s="43"/>
      <c r="AR583" s="43"/>
      <c r="AS583" s="44"/>
      <c r="AT583" s="44"/>
      <c r="AU583" s="44"/>
      <c r="AW583" s="42"/>
      <c r="AX583" s="42"/>
      <c r="AY583" s="45"/>
      <c r="AZ583" s="47"/>
      <c r="BG583" s="43"/>
      <c r="BI583" s="43"/>
      <c r="BJ583" s="43"/>
      <c r="BK583" s="43"/>
      <c r="BL583" s="43"/>
      <c r="BM583" s="43"/>
      <c r="BO583" s="43"/>
      <c r="BR583" s="43"/>
      <c r="BS583" s="43"/>
      <c r="BW583" s="43"/>
      <c r="CC583" s="43"/>
      <c r="CE583" s="43"/>
      <c r="CF583" s="43"/>
      <c r="CH583" s="43"/>
      <c r="CK583" s="43"/>
    </row>
    <row r="584" spans="2:89" x14ac:dyDescent="0.25">
      <c r="B584" s="89"/>
      <c r="C584" s="126"/>
      <c r="D584" s="47"/>
      <c r="E584" s="40"/>
      <c r="F584" s="43"/>
      <c r="G584" s="43"/>
      <c r="H584" s="41"/>
      <c r="I584" s="42"/>
      <c r="J584" s="42"/>
      <c r="K584" s="84"/>
      <c r="L584" s="45"/>
      <c r="M584" s="50"/>
      <c r="N584" s="42"/>
      <c r="O584" s="42"/>
      <c r="P584" s="42"/>
      <c r="Q584" s="42"/>
      <c r="R584" s="42"/>
      <c r="S584" s="42"/>
      <c r="T584" s="42"/>
      <c r="U584" s="67"/>
      <c r="V584" s="220"/>
      <c r="W584" s="48"/>
      <c r="X584" s="49"/>
      <c r="Y584" s="43"/>
      <c r="Z584" s="49"/>
      <c r="AA584" s="43"/>
      <c r="AB584" s="43"/>
      <c r="AC584" s="49"/>
      <c r="AE584" s="43"/>
      <c r="AF584" s="69"/>
      <c r="AI584" s="46"/>
      <c r="AJ584" s="138"/>
      <c r="AK584" s="138"/>
      <c r="AL584" s="138"/>
      <c r="AM584" s="42"/>
      <c r="AO584" s="42"/>
      <c r="AQ584" s="43"/>
      <c r="AR584" s="43"/>
      <c r="AS584" s="44"/>
      <c r="AT584" s="44"/>
      <c r="AU584" s="44"/>
      <c r="AW584" s="42"/>
      <c r="AX584" s="42"/>
      <c r="AY584" s="45"/>
      <c r="AZ584" s="47"/>
      <c r="BG584" s="43"/>
      <c r="BI584" s="43"/>
      <c r="BJ584" s="43"/>
      <c r="BK584" s="43"/>
      <c r="BL584" s="43"/>
      <c r="BM584" s="43"/>
      <c r="BO584" s="43"/>
      <c r="BR584" s="43"/>
      <c r="BS584" s="43"/>
      <c r="BW584" s="43"/>
      <c r="CC584" s="43"/>
      <c r="CE584" s="43"/>
      <c r="CF584" s="43"/>
      <c r="CH584" s="43"/>
      <c r="CK584" s="43"/>
    </row>
    <row r="585" spans="2:89" x14ac:dyDescent="0.25">
      <c r="B585" s="89"/>
      <c r="C585" s="126"/>
      <c r="D585" s="47"/>
      <c r="E585" s="40"/>
      <c r="F585" s="43"/>
      <c r="G585" s="43"/>
      <c r="H585" s="41"/>
      <c r="I585" s="42"/>
      <c r="J585" s="42"/>
      <c r="K585" s="84"/>
      <c r="L585" s="45"/>
      <c r="M585" s="50"/>
      <c r="N585" s="42"/>
      <c r="O585" s="42"/>
      <c r="P585" s="42"/>
      <c r="Q585" s="42"/>
      <c r="R585" s="42"/>
      <c r="S585" s="42"/>
      <c r="T585" s="42"/>
      <c r="U585" s="67"/>
      <c r="V585" s="220"/>
      <c r="W585" s="48"/>
      <c r="X585" s="49"/>
      <c r="Y585" s="43"/>
      <c r="Z585" s="49"/>
      <c r="AA585" s="43"/>
      <c r="AB585" s="43"/>
      <c r="AC585" s="49"/>
      <c r="AE585" s="43"/>
      <c r="AF585" s="69"/>
      <c r="AI585" s="46"/>
      <c r="AJ585" s="138"/>
      <c r="AK585" s="138"/>
      <c r="AL585" s="138"/>
      <c r="AM585" s="42"/>
      <c r="AO585" s="42"/>
      <c r="AQ585" s="43"/>
      <c r="AR585" s="43"/>
      <c r="AS585" s="44"/>
      <c r="AT585" s="44"/>
      <c r="AU585" s="44"/>
      <c r="AW585" s="42"/>
      <c r="AX585" s="42"/>
      <c r="AY585" s="45"/>
      <c r="AZ585" s="47"/>
      <c r="BG585" s="43"/>
      <c r="BI585" s="43"/>
      <c r="BJ585" s="43"/>
      <c r="BK585" s="43"/>
      <c r="BL585" s="43"/>
      <c r="BM585" s="43"/>
      <c r="BO585" s="43"/>
      <c r="BR585" s="43"/>
      <c r="BS585" s="43"/>
      <c r="BW585" s="43"/>
      <c r="CC585" s="43"/>
      <c r="CE585" s="43"/>
      <c r="CF585" s="43"/>
      <c r="CH585" s="43"/>
      <c r="CK585" s="43"/>
    </row>
    <row r="586" spans="2:89" x14ac:dyDescent="0.25">
      <c r="B586" s="89"/>
      <c r="C586" s="126"/>
      <c r="D586" s="47"/>
      <c r="E586" s="40"/>
      <c r="F586" s="43"/>
      <c r="G586" s="43"/>
      <c r="H586" s="41"/>
      <c r="I586" s="42"/>
      <c r="J586" s="42"/>
      <c r="K586" s="84"/>
      <c r="L586" s="45"/>
      <c r="M586" s="50"/>
      <c r="N586" s="42"/>
      <c r="O586" s="42"/>
      <c r="P586" s="42"/>
      <c r="Q586" s="42"/>
      <c r="R586" s="42"/>
      <c r="S586" s="42"/>
      <c r="T586" s="42"/>
      <c r="U586" s="67"/>
      <c r="V586" s="220"/>
      <c r="W586" s="48"/>
      <c r="X586" s="49"/>
      <c r="Y586" s="43"/>
      <c r="Z586" s="49"/>
      <c r="AA586" s="43"/>
      <c r="AB586" s="43"/>
      <c r="AC586" s="49"/>
      <c r="AE586" s="43"/>
      <c r="AF586" s="69"/>
      <c r="AI586" s="46"/>
      <c r="AJ586" s="138"/>
      <c r="AK586" s="138"/>
      <c r="AL586" s="138"/>
      <c r="AM586" s="42"/>
      <c r="AO586" s="42"/>
      <c r="AQ586" s="43"/>
      <c r="AR586" s="43"/>
      <c r="AS586" s="44"/>
      <c r="AT586" s="44"/>
      <c r="AU586" s="44"/>
      <c r="AW586" s="42"/>
      <c r="AX586" s="42"/>
      <c r="AY586" s="45"/>
      <c r="AZ586" s="47"/>
      <c r="BG586" s="43"/>
      <c r="BI586" s="43"/>
      <c r="BJ586" s="43"/>
      <c r="BK586" s="43"/>
      <c r="BL586" s="43"/>
      <c r="BM586" s="43"/>
      <c r="BO586" s="43"/>
      <c r="BR586" s="43"/>
      <c r="BS586" s="43"/>
      <c r="BW586" s="43"/>
      <c r="CC586" s="43"/>
      <c r="CE586" s="43"/>
      <c r="CF586" s="43"/>
      <c r="CH586" s="43"/>
      <c r="CK586" s="43"/>
    </row>
    <row r="587" spans="2:89" x14ac:dyDescent="0.25">
      <c r="B587" s="89"/>
      <c r="C587" s="126"/>
      <c r="D587" s="47"/>
      <c r="E587" s="40"/>
      <c r="F587" s="43"/>
      <c r="G587" s="43"/>
      <c r="H587" s="41"/>
      <c r="I587" s="42"/>
      <c r="J587" s="42"/>
      <c r="K587" s="84"/>
      <c r="L587" s="45"/>
      <c r="M587" s="50"/>
      <c r="N587" s="42"/>
      <c r="O587" s="42"/>
      <c r="P587" s="42"/>
      <c r="Q587" s="42"/>
      <c r="R587" s="42"/>
      <c r="S587" s="42"/>
      <c r="T587" s="42"/>
      <c r="U587" s="67"/>
      <c r="V587" s="234"/>
      <c r="W587" s="48"/>
      <c r="X587" s="49"/>
      <c r="Y587" s="43"/>
      <c r="Z587" s="49"/>
      <c r="AA587" s="43"/>
      <c r="AB587" s="43"/>
      <c r="AC587" s="49"/>
      <c r="AE587" s="43"/>
      <c r="AF587" s="69"/>
      <c r="AI587" s="46"/>
      <c r="AJ587" s="138"/>
      <c r="AK587" s="138"/>
      <c r="AL587" s="138"/>
      <c r="AM587" s="42"/>
      <c r="AO587" s="42"/>
      <c r="AQ587" s="43"/>
      <c r="AR587" s="43"/>
      <c r="AS587" s="44"/>
      <c r="AT587" s="44"/>
      <c r="AU587" s="44"/>
      <c r="AW587" s="42"/>
      <c r="AX587" s="42"/>
      <c r="AY587" s="45"/>
      <c r="AZ587" s="47"/>
      <c r="BG587" s="43"/>
      <c r="BI587" s="43"/>
      <c r="BJ587" s="43"/>
      <c r="BK587" s="43"/>
      <c r="BL587" s="43"/>
      <c r="BM587" s="43"/>
      <c r="BO587" s="43"/>
      <c r="BR587" s="43"/>
      <c r="BS587" s="43"/>
      <c r="BW587" s="43"/>
      <c r="CC587" s="43"/>
      <c r="CE587" s="43"/>
      <c r="CF587" s="43"/>
      <c r="CH587" s="43"/>
      <c r="CK587" s="43"/>
    </row>
    <row r="588" spans="2:89" x14ac:dyDescent="0.25">
      <c r="B588" s="89"/>
      <c r="C588" s="126"/>
      <c r="D588" s="47"/>
      <c r="E588" s="40"/>
      <c r="F588" s="43"/>
      <c r="G588" s="43"/>
      <c r="H588" s="41"/>
      <c r="I588" s="42"/>
      <c r="J588" s="42"/>
      <c r="K588" s="84"/>
      <c r="L588" s="45"/>
      <c r="M588" s="50"/>
      <c r="N588" s="42"/>
      <c r="O588" s="42"/>
      <c r="P588" s="42"/>
      <c r="Q588" s="42"/>
      <c r="R588" s="42"/>
      <c r="S588" s="42"/>
      <c r="T588" s="42"/>
      <c r="U588" s="67"/>
      <c r="V588" s="220"/>
      <c r="W588" s="48"/>
      <c r="X588" s="49"/>
      <c r="Y588" s="43"/>
      <c r="Z588" s="49"/>
      <c r="AA588" s="43"/>
      <c r="AB588" s="43"/>
      <c r="AC588" s="49"/>
      <c r="AE588" s="43"/>
      <c r="AF588" s="69"/>
      <c r="AI588" s="46"/>
      <c r="AJ588" s="138"/>
      <c r="AK588" s="138"/>
      <c r="AL588" s="138"/>
      <c r="AM588" s="42"/>
      <c r="AO588" s="42"/>
      <c r="AQ588" s="43"/>
      <c r="AR588" s="43"/>
      <c r="AS588" s="44"/>
      <c r="AT588" s="44"/>
      <c r="AU588" s="44"/>
      <c r="AW588" s="42"/>
      <c r="AX588" s="42"/>
      <c r="AY588" s="45"/>
      <c r="AZ588" s="47"/>
      <c r="BG588" s="43"/>
      <c r="BI588" s="43"/>
      <c r="BJ588" s="43"/>
      <c r="BK588" s="43"/>
      <c r="BL588" s="43"/>
      <c r="BM588" s="43"/>
      <c r="BO588" s="43"/>
      <c r="BR588" s="43"/>
      <c r="BS588" s="43"/>
      <c r="BW588" s="43"/>
      <c r="CC588" s="43"/>
      <c r="CE588" s="43"/>
      <c r="CF588" s="43"/>
      <c r="CH588" s="43"/>
      <c r="CK588" s="43"/>
    </row>
    <row r="589" spans="2:89" x14ac:dyDescent="0.25">
      <c r="B589" s="89"/>
      <c r="C589" s="123"/>
      <c r="D589" s="47"/>
      <c r="E589" s="40"/>
      <c r="F589" s="43"/>
      <c r="G589" s="43"/>
      <c r="H589" s="41"/>
      <c r="I589" s="42"/>
      <c r="J589" s="42"/>
      <c r="K589" s="84"/>
      <c r="L589" s="45"/>
      <c r="M589" s="43"/>
      <c r="N589" s="42"/>
      <c r="O589" s="42"/>
      <c r="P589" s="42"/>
      <c r="Q589" s="42"/>
      <c r="R589" s="42"/>
      <c r="S589" s="42"/>
      <c r="T589" s="42"/>
      <c r="U589" s="67"/>
      <c r="V589" s="220"/>
      <c r="W589" s="48"/>
      <c r="X589" s="49"/>
      <c r="Y589" s="43"/>
      <c r="Z589" s="49"/>
      <c r="AA589" s="43"/>
      <c r="AB589" s="43"/>
      <c r="AC589" s="49"/>
      <c r="AE589" s="43"/>
      <c r="AF589" s="69"/>
      <c r="AI589" s="46"/>
      <c r="AJ589" s="138"/>
      <c r="AK589" s="138"/>
      <c r="AL589" s="138"/>
      <c r="AM589" s="42"/>
      <c r="AO589" s="42"/>
      <c r="AQ589" s="43"/>
      <c r="AR589" s="43"/>
      <c r="AS589" s="44"/>
      <c r="AT589" s="44"/>
      <c r="AU589" s="44"/>
      <c r="AW589" s="42"/>
      <c r="AX589" s="42"/>
      <c r="AY589" s="45"/>
      <c r="AZ589" s="47"/>
      <c r="BG589" s="43"/>
      <c r="BI589" s="43"/>
      <c r="BJ589" s="43"/>
      <c r="BK589" s="43"/>
      <c r="BL589" s="43"/>
      <c r="BM589" s="43"/>
      <c r="BO589" s="43"/>
      <c r="BR589" s="43"/>
      <c r="BS589" s="43"/>
      <c r="BW589" s="43"/>
      <c r="CC589" s="43"/>
      <c r="CE589" s="43"/>
      <c r="CF589" s="43"/>
      <c r="CH589" s="43"/>
      <c r="CK589" s="43"/>
    </row>
    <row r="590" spans="2:89" x14ac:dyDescent="0.25">
      <c r="B590" s="89"/>
      <c r="C590" s="123"/>
      <c r="D590" s="47"/>
      <c r="E590" s="40"/>
      <c r="F590" s="43"/>
      <c r="G590" s="43"/>
      <c r="H590" s="41"/>
      <c r="I590" s="42"/>
      <c r="J590" s="42"/>
      <c r="K590" s="84"/>
      <c r="L590" s="45"/>
      <c r="M590" s="43"/>
      <c r="N590" s="42"/>
      <c r="O590" s="42"/>
      <c r="P590" s="42"/>
      <c r="Q590" s="42"/>
      <c r="R590" s="42"/>
      <c r="S590" s="42"/>
      <c r="T590" s="42"/>
      <c r="U590" s="67"/>
      <c r="V590" s="220"/>
      <c r="W590" s="48"/>
      <c r="X590" s="49"/>
      <c r="Y590" s="43"/>
      <c r="Z590" s="49"/>
      <c r="AA590" s="43"/>
      <c r="AB590" s="43"/>
      <c r="AC590" s="49"/>
      <c r="AE590" s="43"/>
      <c r="AF590" s="69"/>
      <c r="AI590" s="46"/>
      <c r="AJ590" s="138"/>
      <c r="AK590" s="138"/>
      <c r="AL590" s="138"/>
      <c r="AM590" s="42"/>
      <c r="AO590" s="42"/>
      <c r="AQ590" s="43"/>
      <c r="AR590" s="43"/>
      <c r="AS590" s="44"/>
      <c r="AT590" s="44"/>
      <c r="AU590" s="44"/>
      <c r="AW590" s="42"/>
      <c r="AX590" s="42"/>
      <c r="AY590" s="45"/>
      <c r="AZ590" s="47"/>
      <c r="BG590" s="43"/>
      <c r="BI590" s="43"/>
      <c r="BJ590" s="43"/>
      <c r="BK590" s="43"/>
      <c r="BL590" s="43"/>
      <c r="BM590" s="43"/>
      <c r="BO590" s="43"/>
      <c r="BR590" s="43"/>
      <c r="BS590" s="43"/>
      <c r="BW590" s="43"/>
      <c r="CC590" s="43"/>
      <c r="CE590" s="43"/>
      <c r="CF590" s="43"/>
      <c r="CH590" s="43"/>
      <c r="CK590" s="43"/>
    </row>
    <row r="591" spans="2:89" x14ac:dyDescent="0.25">
      <c r="B591" s="89"/>
      <c r="C591" s="123"/>
      <c r="D591" s="47"/>
      <c r="E591" s="40"/>
      <c r="F591" s="43"/>
      <c r="G591" s="43"/>
      <c r="H591" s="41"/>
      <c r="I591" s="42"/>
      <c r="J591" s="42"/>
      <c r="K591" s="84"/>
      <c r="L591" s="45"/>
      <c r="M591" s="43"/>
      <c r="N591" s="42"/>
      <c r="O591" s="42"/>
      <c r="P591" s="42"/>
      <c r="Q591" s="42"/>
      <c r="R591" s="42"/>
      <c r="S591" s="42"/>
      <c r="T591" s="42"/>
      <c r="U591" s="67"/>
      <c r="V591" s="220"/>
      <c r="W591" s="48"/>
      <c r="X591" s="49"/>
      <c r="Y591" s="43"/>
      <c r="Z591" s="49"/>
      <c r="AA591" s="43"/>
      <c r="AB591" s="43"/>
      <c r="AC591" s="49"/>
      <c r="AE591" s="43"/>
      <c r="AF591" s="69"/>
      <c r="AI591" s="46"/>
      <c r="AJ591" s="138"/>
      <c r="AK591" s="138"/>
      <c r="AL591" s="138"/>
      <c r="AM591" s="42"/>
      <c r="AO591" s="42"/>
      <c r="AQ591" s="43"/>
      <c r="AR591" s="43"/>
      <c r="AS591" s="44"/>
      <c r="AT591" s="44"/>
      <c r="AU591" s="44"/>
      <c r="AW591" s="42"/>
      <c r="AX591" s="42"/>
      <c r="AY591" s="45"/>
      <c r="AZ591" s="47"/>
      <c r="BG591" s="43"/>
      <c r="BI591" s="43"/>
      <c r="BJ591" s="43"/>
      <c r="BK591" s="43"/>
      <c r="BL591" s="43"/>
      <c r="BM591" s="43"/>
      <c r="BO591" s="43"/>
      <c r="BR591" s="43"/>
      <c r="BS591" s="43"/>
      <c r="BW591" s="43"/>
      <c r="CC591" s="43"/>
      <c r="CE591" s="43"/>
      <c r="CF591" s="43"/>
      <c r="CH591" s="43"/>
      <c r="CK591" s="43"/>
    </row>
    <row r="592" spans="2:89" x14ac:dyDescent="0.25">
      <c r="B592" s="89"/>
      <c r="C592" s="123"/>
      <c r="D592" s="47"/>
      <c r="E592" s="40"/>
      <c r="F592" s="43"/>
      <c r="G592" s="43"/>
      <c r="H592" s="41"/>
      <c r="I592" s="42"/>
      <c r="J592" s="42"/>
      <c r="K592" s="84"/>
      <c r="L592" s="45"/>
      <c r="M592" s="43"/>
      <c r="N592" s="42"/>
      <c r="O592" s="42"/>
      <c r="P592" s="42"/>
      <c r="Q592" s="42"/>
      <c r="R592" s="42"/>
      <c r="S592" s="42"/>
      <c r="T592" s="42"/>
      <c r="U592" s="67"/>
      <c r="V592" s="220"/>
      <c r="W592" s="48"/>
      <c r="X592" s="49"/>
      <c r="Y592" s="43"/>
      <c r="Z592" s="49"/>
      <c r="AA592" s="43"/>
      <c r="AB592" s="43"/>
      <c r="AC592" s="49"/>
      <c r="AE592" s="43"/>
      <c r="AF592" s="69"/>
      <c r="AI592" s="46"/>
      <c r="AJ592" s="138"/>
      <c r="AK592" s="138"/>
      <c r="AL592" s="138"/>
      <c r="AM592" s="42"/>
      <c r="AO592" s="42"/>
      <c r="AQ592" s="43"/>
      <c r="AR592" s="43"/>
      <c r="AS592" s="44"/>
      <c r="AT592" s="44"/>
      <c r="AU592" s="44"/>
      <c r="AW592" s="42"/>
      <c r="AX592" s="42"/>
      <c r="AY592" s="45"/>
      <c r="AZ592" s="47"/>
      <c r="BG592" s="43"/>
      <c r="BI592" s="43"/>
      <c r="BJ592" s="43"/>
      <c r="BK592" s="43"/>
      <c r="BL592" s="43"/>
      <c r="BM592" s="43"/>
      <c r="BO592" s="43"/>
      <c r="BR592" s="43"/>
      <c r="BS592" s="43"/>
      <c r="BW592" s="43"/>
      <c r="CC592" s="43"/>
      <c r="CE592" s="43"/>
      <c r="CF592" s="43"/>
      <c r="CH592" s="43"/>
      <c r="CK592" s="43"/>
    </row>
    <row r="593" spans="2:89" x14ac:dyDescent="0.25">
      <c r="B593" s="89"/>
      <c r="C593" s="126"/>
      <c r="D593" s="47"/>
      <c r="E593" s="40"/>
      <c r="F593" s="43"/>
      <c r="G593" s="43"/>
      <c r="H593" s="41"/>
      <c r="I593" s="42"/>
      <c r="J593" s="42"/>
      <c r="K593" s="84"/>
      <c r="L593" s="45"/>
      <c r="M593" s="50"/>
      <c r="N593" s="42"/>
      <c r="O593" s="42"/>
      <c r="P593" s="42"/>
      <c r="Q593" s="42"/>
      <c r="R593" s="42"/>
      <c r="S593" s="42"/>
      <c r="T593" s="42"/>
      <c r="U593" s="67"/>
      <c r="V593" s="220"/>
      <c r="W593" s="48"/>
      <c r="X593" s="49"/>
      <c r="Y593" s="43"/>
      <c r="Z593" s="49"/>
      <c r="AA593" s="43"/>
      <c r="AB593" s="43"/>
      <c r="AC593" s="49"/>
      <c r="AE593" s="43"/>
      <c r="AF593" s="69"/>
      <c r="AI593" s="46"/>
      <c r="AJ593" s="138"/>
      <c r="AK593" s="138"/>
      <c r="AL593" s="138"/>
      <c r="AM593" s="42"/>
      <c r="AO593" s="42"/>
      <c r="AQ593" s="43"/>
      <c r="AR593" s="43"/>
      <c r="AS593" s="44"/>
      <c r="AT593" s="44"/>
      <c r="AU593" s="44"/>
      <c r="AW593" s="42"/>
      <c r="AX593" s="42"/>
      <c r="AY593" s="45"/>
      <c r="AZ593" s="47"/>
      <c r="BG593" s="43"/>
      <c r="BI593" s="43"/>
      <c r="BJ593" s="43"/>
      <c r="BK593" s="43"/>
      <c r="BL593" s="43"/>
      <c r="BM593" s="43"/>
      <c r="BO593" s="43"/>
      <c r="BR593" s="43"/>
      <c r="BS593" s="43"/>
      <c r="BW593" s="43"/>
      <c r="CC593" s="43"/>
      <c r="CE593" s="43"/>
      <c r="CF593" s="43"/>
      <c r="CH593" s="43"/>
      <c r="CK593" s="43"/>
    </row>
    <row r="594" spans="2:89" x14ac:dyDescent="0.25">
      <c r="B594" s="89"/>
      <c r="C594" s="123"/>
      <c r="D594" s="203"/>
      <c r="E594" s="40"/>
      <c r="F594" s="43"/>
      <c r="G594" s="43"/>
      <c r="H594" s="41"/>
      <c r="I594" s="42"/>
      <c r="J594" s="42"/>
      <c r="K594" s="84"/>
      <c r="L594" s="45"/>
      <c r="M594" s="43"/>
      <c r="N594" s="42"/>
      <c r="O594" s="42"/>
      <c r="P594" s="138"/>
      <c r="Q594" s="42"/>
      <c r="R594" s="42"/>
      <c r="S594" s="227"/>
      <c r="T594" s="42"/>
      <c r="U594" s="196"/>
      <c r="V594" s="236"/>
      <c r="W594" s="49"/>
      <c r="X594" s="49"/>
      <c r="Y594" s="43"/>
      <c r="Z594" s="49"/>
      <c r="AA594" s="43"/>
      <c r="AB594" s="43"/>
      <c r="AC594" s="49"/>
      <c r="AE594" s="43"/>
      <c r="AF594" s="69"/>
      <c r="AG594" s="69"/>
      <c r="AI594" s="46"/>
      <c r="AJ594" s="138"/>
      <c r="AK594" s="198"/>
      <c r="AL594" s="198"/>
      <c r="AM594" s="42"/>
      <c r="AO594" s="42"/>
      <c r="AQ594" s="43"/>
      <c r="AR594" s="43"/>
      <c r="AS594" s="44"/>
      <c r="AT594" s="237"/>
      <c r="AU594" s="44"/>
      <c r="AV594" s="238"/>
      <c r="AW594" s="239"/>
      <c r="AX594" s="239"/>
      <c r="AY594" s="239"/>
      <c r="AZ594" s="240"/>
      <c r="BG594" s="43"/>
      <c r="BI594" s="43"/>
      <c r="BJ594" s="43"/>
      <c r="BK594" s="43"/>
      <c r="BL594" s="43"/>
      <c r="BM594" s="43"/>
      <c r="BO594" s="43"/>
      <c r="BR594" s="43"/>
      <c r="BS594" s="43"/>
      <c r="BW594" s="43"/>
      <c r="CC594" s="43"/>
      <c r="CE594" s="43"/>
      <c r="CF594" s="43"/>
      <c r="CH594" s="43"/>
      <c r="CK594" s="43"/>
    </row>
    <row r="595" spans="2:89" x14ac:dyDescent="0.25">
      <c r="B595" s="107"/>
      <c r="C595" s="127"/>
      <c r="D595" s="219"/>
      <c r="E595" s="40"/>
      <c r="F595" s="210"/>
      <c r="G595" s="210"/>
      <c r="H595" s="108"/>
      <c r="I595" s="203"/>
      <c r="J595" s="203"/>
      <c r="K595" s="84"/>
      <c r="L595" s="114"/>
      <c r="M595" s="133"/>
      <c r="N595" s="42"/>
      <c r="O595" s="105"/>
      <c r="P595" s="223"/>
      <c r="Q595" s="105"/>
      <c r="R595" s="42"/>
      <c r="S595" s="105"/>
      <c r="T595" s="105"/>
      <c r="U595" s="134"/>
      <c r="V595" s="220"/>
      <c r="W595" s="117"/>
      <c r="X595" s="119"/>
      <c r="Y595" s="43"/>
      <c r="Z595" s="49"/>
      <c r="AA595" s="43"/>
      <c r="AB595" s="43"/>
      <c r="AC595" s="49"/>
      <c r="AE595" s="43"/>
      <c r="AF595" s="69"/>
      <c r="AG595" s="69"/>
      <c r="AH595" s="150"/>
      <c r="AI595" s="46"/>
      <c r="AJ595" s="141"/>
      <c r="AK595" s="138"/>
      <c r="AL595" s="182"/>
      <c r="AM595" s="115"/>
      <c r="AN595" s="115"/>
      <c r="AO595" s="115"/>
      <c r="AP595" s="105"/>
      <c r="AQ595" s="43"/>
      <c r="AR595" s="43"/>
      <c r="AS595" s="136"/>
      <c r="AT595" s="153"/>
      <c r="AU595" s="136"/>
      <c r="AV595" s="106"/>
      <c r="AW595" s="115"/>
      <c r="AX595" s="115"/>
      <c r="AY595" s="115"/>
      <c r="AZ595" s="131"/>
      <c r="BG595" s="43"/>
      <c r="BI595" s="43"/>
      <c r="BJ595" s="43"/>
      <c r="BK595" s="43"/>
      <c r="BL595" s="43"/>
      <c r="BM595" s="43"/>
      <c r="BO595" s="43"/>
      <c r="BR595" s="43"/>
      <c r="BS595" s="43"/>
      <c r="BW595" s="43"/>
      <c r="CC595" s="43"/>
      <c r="CE595" s="43"/>
      <c r="CF595" s="43"/>
      <c r="CH595" s="43"/>
      <c r="CK595" s="43"/>
    </row>
    <row r="596" spans="2:89" x14ac:dyDescent="0.25">
      <c r="B596" s="89"/>
      <c r="C596" s="123"/>
      <c r="D596" s="47"/>
      <c r="E596" s="40"/>
      <c r="F596" s="43"/>
      <c r="G596" s="43"/>
      <c r="H596" s="41"/>
      <c r="I596" s="42"/>
      <c r="J596" s="42"/>
      <c r="K596" s="84"/>
      <c r="L596" s="45"/>
      <c r="M596" s="43"/>
      <c r="N596" s="42"/>
      <c r="O596" s="42"/>
      <c r="P596" s="42"/>
      <c r="Q596" s="42"/>
      <c r="R596" s="42"/>
      <c r="S596" s="42"/>
      <c r="T596" s="42"/>
      <c r="U596" s="67"/>
      <c r="V596" s="220"/>
      <c r="W596" s="48"/>
      <c r="X596" s="49"/>
      <c r="Y596" s="43"/>
      <c r="Z596" s="49"/>
      <c r="AA596" s="43"/>
      <c r="AB596" s="43"/>
      <c r="AC596" s="49"/>
      <c r="AE596" s="43"/>
      <c r="AF596" s="69"/>
      <c r="AI596" s="46"/>
      <c r="AJ596" s="138"/>
      <c r="AK596" s="138"/>
      <c r="AL596" s="138"/>
      <c r="AM596" s="42"/>
      <c r="AO596" s="42"/>
      <c r="AQ596" s="43"/>
      <c r="AR596" s="43"/>
      <c r="AS596" s="44"/>
      <c r="AT596" s="44"/>
      <c r="AU596" s="44"/>
      <c r="AW596" s="42"/>
      <c r="AX596" s="42"/>
      <c r="AY596" s="45"/>
      <c r="AZ596" s="47"/>
      <c r="BG596" s="43"/>
      <c r="BI596" s="43"/>
      <c r="BJ596" s="43"/>
      <c r="BK596" s="43"/>
      <c r="BL596" s="43"/>
      <c r="BM596" s="43"/>
      <c r="BO596" s="43"/>
      <c r="BR596" s="43"/>
      <c r="BS596" s="43"/>
      <c r="BW596" s="43"/>
      <c r="CC596" s="43"/>
      <c r="CE596" s="43"/>
      <c r="CF596" s="43"/>
      <c r="CH596" s="43"/>
      <c r="CK596" s="43"/>
    </row>
    <row r="597" spans="2:89" x14ac:dyDescent="0.25">
      <c r="B597" s="89"/>
      <c r="C597" s="123"/>
      <c r="D597" s="47"/>
      <c r="E597" s="40"/>
      <c r="F597" s="43"/>
      <c r="G597" s="43"/>
      <c r="H597" s="41"/>
      <c r="I597" s="42"/>
      <c r="J597" s="42"/>
      <c r="K597" s="84"/>
      <c r="L597" s="45"/>
      <c r="M597" s="43"/>
      <c r="N597" s="42"/>
      <c r="O597" s="42"/>
      <c r="P597" s="42"/>
      <c r="Q597" s="42"/>
      <c r="R597" s="42"/>
      <c r="S597" s="42"/>
      <c r="T597" s="42"/>
      <c r="U597" s="67"/>
      <c r="V597" s="220"/>
      <c r="W597" s="48"/>
      <c r="X597" s="49"/>
      <c r="Y597" s="43"/>
      <c r="Z597" s="49"/>
      <c r="AA597" s="43"/>
      <c r="AB597" s="43"/>
      <c r="AC597" s="49"/>
      <c r="AE597" s="43"/>
      <c r="AF597" s="69"/>
      <c r="AI597" s="46"/>
      <c r="AJ597" s="138"/>
      <c r="AK597" s="138"/>
      <c r="AL597" s="138"/>
      <c r="AM597" s="42"/>
      <c r="AO597" s="42"/>
      <c r="AQ597" s="43"/>
      <c r="AR597" s="43"/>
      <c r="AS597" s="44"/>
      <c r="AT597" s="44"/>
      <c r="AU597" s="44"/>
      <c r="AW597" s="42"/>
      <c r="AX597" s="42"/>
      <c r="AY597" s="45"/>
      <c r="AZ597" s="78"/>
      <c r="BG597" s="43"/>
      <c r="BI597" s="43"/>
      <c r="BJ597" s="43"/>
      <c r="BK597" s="43"/>
      <c r="BL597" s="43"/>
      <c r="BM597" s="43"/>
      <c r="BO597" s="43"/>
      <c r="BR597" s="43"/>
      <c r="BS597" s="43"/>
      <c r="BW597" s="43"/>
      <c r="CC597" s="43"/>
      <c r="CE597" s="43"/>
      <c r="CF597" s="43"/>
      <c r="CH597" s="43"/>
      <c r="CK597" s="43"/>
    </row>
    <row r="598" spans="2:89" x14ac:dyDescent="0.25">
      <c r="B598" s="89"/>
      <c r="C598" s="123"/>
      <c r="D598" s="47"/>
      <c r="E598" s="40"/>
      <c r="F598" s="43"/>
      <c r="G598" s="43"/>
      <c r="H598" s="41"/>
      <c r="I598" s="42"/>
      <c r="J598" s="42"/>
      <c r="K598" s="84"/>
      <c r="L598" s="45"/>
      <c r="M598" s="43"/>
      <c r="N598" s="42"/>
      <c r="O598" s="42"/>
      <c r="P598" s="42"/>
      <c r="Q598" s="42"/>
      <c r="R598" s="42"/>
      <c r="S598" s="42"/>
      <c r="T598" s="42"/>
      <c r="U598" s="67"/>
      <c r="V598" s="220"/>
      <c r="W598" s="48"/>
      <c r="X598" s="49"/>
      <c r="Y598" s="43"/>
      <c r="Z598" s="49"/>
      <c r="AA598" s="43"/>
      <c r="AB598" s="43"/>
      <c r="AC598" s="49"/>
      <c r="AE598" s="43"/>
      <c r="AF598" s="69"/>
      <c r="AI598" s="46"/>
      <c r="AJ598" s="138"/>
      <c r="AK598" s="138"/>
      <c r="AL598" s="138"/>
      <c r="AM598" s="42"/>
      <c r="AO598" s="42"/>
      <c r="AQ598" s="43"/>
      <c r="AR598" s="43"/>
      <c r="AS598" s="44"/>
      <c r="AT598" s="44"/>
      <c r="AU598" s="44"/>
      <c r="AW598" s="42"/>
      <c r="AX598" s="42"/>
      <c r="AY598" s="45"/>
      <c r="AZ598" s="47"/>
      <c r="BA598" s="69"/>
      <c r="BG598" s="49"/>
      <c r="BJ598" s="51"/>
      <c r="BK598" s="43"/>
      <c r="BL598" s="49"/>
      <c r="BM598" s="43"/>
      <c r="BO598" s="49"/>
      <c r="BR598" s="43"/>
      <c r="BS598" s="43"/>
      <c r="BW598" s="43"/>
      <c r="CC598" s="43"/>
      <c r="CE598" s="43"/>
      <c r="CF598" s="43"/>
      <c r="CH598" s="43"/>
      <c r="CK598" s="43"/>
    </row>
    <row r="599" spans="2:89" x14ac:dyDescent="0.25">
      <c r="B599" s="89"/>
      <c r="C599" s="123"/>
      <c r="D599" s="47"/>
      <c r="E599" s="40"/>
      <c r="F599" s="43"/>
      <c r="G599" s="43"/>
      <c r="H599" s="41"/>
      <c r="I599" s="42"/>
      <c r="J599" s="42"/>
      <c r="K599" s="84"/>
      <c r="L599" s="45"/>
      <c r="M599" s="43"/>
      <c r="N599" s="42"/>
      <c r="O599" s="42"/>
      <c r="P599" s="42"/>
      <c r="Q599" s="42"/>
      <c r="R599" s="42"/>
      <c r="S599" s="42"/>
      <c r="T599" s="42"/>
      <c r="U599" s="67"/>
      <c r="V599" s="220"/>
      <c r="W599" s="48"/>
      <c r="X599" s="49"/>
      <c r="Y599" s="43"/>
      <c r="Z599" s="49"/>
      <c r="AA599" s="43"/>
      <c r="AB599" s="43"/>
      <c r="AC599" s="49"/>
      <c r="AE599" s="43"/>
      <c r="AF599" s="69"/>
      <c r="AI599" s="46"/>
      <c r="AJ599" s="138"/>
      <c r="AK599" s="138"/>
      <c r="AL599" s="138"/>
      <c r="AM599" s="42"/>
      <c r="AO599" s="42"/>
      <c r="AQ599" s="43"/>
      <c r="AR599" s="43"/>
      <c r="AS599" s="44"/>
      <c r="AT599" s="44"/>
      <c r="AU599" s="44"/>
      <c r="AW599" s="42"/>
      <c r="AX599" s="42"/>
      <c r="AY599" s="45"/>
      <c r="AZ599" s="47"/>
      <c r="BA599" s="69"/>
      <c r="BG599" s="49"/>
      <c r="BJ599" s="51"/>
      <c r="BK599" s="43"/>
      <c r="BL599" s="49"/>
      <c r="BM599" s="43"/>
      <c r="BO599" s="49"/>
      <c r="BR599" s="43"/>
      <c r="BS599" s="43"/>
      <c r="BW599" s="43"/>
      <c r="CC599" s="43"/>
      <c r="CE599" s="43"/>
      <c r="CF599" s="43"/>
      <c r="CH599" s="43"/>
      <c r="CK599" s="43"/>
    </row>
    <row r="600" spans="2:89" x14ac:dyDescent="0.25">
      <c r="B600" s="89"/>
      <c r="C600" s="123"/>
      <c r="D600" s="47"/>
      <c r="E600" s="40"/>
      <c r="F600" s="43"/>
      <c r="G600" s="43"/>
      <c r="H600" s="41"/>
      <c r="I600" s="42"/>
      <c r="J600" s="42"/>
      <c r="K600" s="84"/>
      <c r="L600" s="45"/>
      <c r="M600" s="43"/>
      <c r="N600" s="42"/>
      <c r="O600" s="42"/>
      <c r="P600" s="229"/>
      <c r="Q600" s="42"/>
      <c r="R600" s="42"/>
      <c r="S600" s="42"/>
      <c r="T600" s="42"/>
      <c r="U600" s="67"/>
      <c r="V600" s="220"/>
      <c r="W600" s="48"/>
      <c r="X600" s="49"/>
      <c r="Y600" s="43"/>
      <c r="Z600" s="49"/>
      <c r="AA600" s="43"/>
      <c r="AB600" s="43"/>
      <c r="AC600" s="49"/>
      <c r="AE600" s="43"/>
      <c r="AF600" s="69"/>
      <c r="AI600" s="46"/>
      <c r="AJ600" s="138"/>
      <c r="AK600" s="138"/>
      <c r="AL600" s="138"/>
      <c r="AM600" s="42"/>
      <c r="AO600" s="42"/>
      <c r="AQ600" s="43"/>
      <c r="AR600" s="43"/>
      <c r="AS600" s="44"/>
      <c r="AT600" s="44"/>
      <c r="AU600" s="44"/>
      <c r="AW600" s="42"/>
      <c r="AX600" s="42"/>
      <c r="AY600" s="45"/>
      <c r="AZ600" s="78"/>
      <c r="BA600" s="69"/>
      <c r="BG600" s="49"/>
      <c r="BJ600" s="51"/>
      <c r="BK600" s="43"/>
      <c r="BL600" s="49"/>
      <c r="BM600" s="43"/>
      <c r="BO600" s="49"/>
      <c r="BR600" s="43"/>
      <c r="BS600" s="43"/>
      <c r="BW600" s="43"/>
      <c r="CC600" s="43"/>
      <c r="CE600" s="43"/>
      <c r="CF600" s="43"/>
      <c r="CH600" s="43"/>
      <c r="CK600" s="43"/>
    </row>
    <row r="601" spans="2:89" x14ac:dyDescent="0.25">
      <c r="B601" s="89"/>
      <c r="C601" s="123"/>
      <c r="D601" s="47"/>
      <c r="E601" s="40"/>
      <c r="F601" s="43"/>
      <c r="G601" s="43"/>
      <c r="H601" s="41"/>
      <c r="I601" s="42"/>
      <c r="J601" s="42"/>
      <c r="K601" s="84"/>
      <c r="L601" s="45"/>
      <c r="M601" s="43"/>
      <c r="N601" s="42"/>
      <c r="O601" s="42"/>
      <c r="P601" s="223"/>
      <c r="Q601" s="42"/>
      <c r="R601" s="42"/>
      <c r="S601" s="42"/>
      <c r="T601" s="42"/>
      <c r="U601" s="67"/>
      <c r="V601" s="220"/>
      <c r="W601" s="48"/>
      <c r="X601" s="49"/>
      <c r="Y601" s="43"/>
      <c r="Z601" s="49"/>
      <c r="AA601" s="43"/>
      <c r="AB601" s="43"/>
      <c r="AC601" s="49"/>
      <c r="AE601" s="43"/>
      <c r="AF601" s="69"/>
      <c r="AI601" s="46"/>
      <c r="AJ601" s="138"/>
      <c r="AK601" s="138"/>
      <c r="AL601" s="138"/>
      <c r="AM601" s="42"/>
      <c r="AO601" s="42"/>
      <c r="AQ601" s="43"/>
      <c r="AR601" s="43"/>
      <c r="AS601" s="44"/>
      <c r="AT601" s="44"/>
      <c r="AU601" s="44"/>
      <c r="AW601" s="42"/>
      <c r="AX601" s="42"/>
      <c r="AY601" s="45"/>
      <c r="AZ601" s="47"/>
      <c r="BA601" s="69"/>
      <c r="BG601" s="49"/>
      <c r="BJ601" s="51"/>
      <c r="BK601" s="43"/>
      <c r="BL601" s="49"/>
      <c r="BM601" s="43"/>
      <c r="BO601" s="49"/>
      <c r="BR601" s="43"/>
      <c r="BS601" s="43"/>
      <c r="BW601" s="43"/>
      <c r="CC601" s="43"/>
      <c r="CE601" s="43"/>
      <c r="CF601" s="43"/>
      <c r="CH601" s="43"/>
      <c r="CK601" s="43"/>
    </row>
    <row r="602" spans="2:89" x14ac:dyDescent="0.25">
      <c r="B602" s="89"/>
      <c r="C602" s="123"/>
      <c r="D602" s="47"/>
      <c r="E602" s="40"/>
      <c r="F602" s="43"/>
      <c r="G602" s="43"/>
      <c r="H602" s="41"/>
      <c r="I602" s="42"/>
      <c r="J602" s="42"/>
      <c r="K602" s="84"/>
      <c r="L602" s="45"/>
      <c r="M602" s="43"/>
      <c r="N602" s="42"/>
      <c r="O602" s="42"/>
      <c r="P602" s="223"/>
      <c r="Q602" s="42"/>
      <c r="R602" s="42"/>
      <c r="S602" s="42"/>
      <c r="T602" s="42"/>
      <c r="U602" s="67"/>
      <c r="V602" s="220"/>
      <c r="W602" s="48"/>
      <c r="X602" s="49"/>
      <c r="Y602" s="43"/>
      <c r="Z602" s="49"/>
      <c r="AA602" s="43"/>
      <c r="AB602" s="43"/>
      <c r="AC602" s="49"/>
      <c r="AE602" s="43"/>
      <c r="AF602" s="69"/>
      <c r="AI602" s="46"/>
      <c r="AJ602" s="138"/>
      <c r="AK602" s="138"/>
      <c r="AL602" s="138"/>
      <c r="AM602" s="42"/>
      <c r="AO602" s="42"/>
      <c r="AQ602" s="43"/>
      <c r="AR602" s="43"/>
      <c r="AS602" s="44"/>
      <c r="AT602" s="44"/>
      <c r="AU602" s="44"/>
      <c r="AW602" s="42"/>
      <c r="AX602" s="42"/>
      <c r="AY602" s="45"/>
      <c r="AZ602" s="47"/>
      <c r="BB602" s="42"/>
      <c r="BC602" s="42"/>
      <c r="BD602" s="42"/>
      <c r="BE602" s="42"/>
      <c r="BF602" s="42"/>
      <c r="BG602" s="43"/>
      <c r="BH602" s="44"/>
      <c r="BI602" s="43"/>
      <c r="BJ602" s="43"/>
      <c r="BM602" s="43"/>
      <c r="BO602" s="43"/>
      <c r="BP602" s="69"/>
      <c r="BR602" s="43"/>
      <c r="BS602" s="43"/>
      <c r="BV602" s="49"/>
      <c r="BW602" s="43"/>
      <c r="BX602" s="42"/>
      <c r="BY602" s="51"/>
      <c r="CA602" s="49"/>
      <c r="CC602" s="43"/>
      <c r="CD602" s="49"/>
      <c r="CE602" s="43"/>
      <c r="CF602" s="43"/>
      <c r="CH602" s="43"/>
      <c r="CK602" s="43"/>
    </row>
    <row r="603" spans="2:89" x14ac:dyDescent="0.25">
      <c r="B603" s="89"/>
      <c r="C603" s="123"/>
      <c r="D603" s="47"/>
      <c r="E603" s="40"/>
      <c r="F603" s="43"/>
      <c r="G603" s="43"/>
      <c r="H603" s="41"/>
      <c r="I603" s="42"/>
      <c r="J603" s="42"/>
      <c r="K603" s="84"/>
      <c r="L603" s="45"/>
      <c r="M603" s="43"/>
      <c r="N603" s="42"/>
      <c r="O603" s="42"/>
      <c r="P603" s="42"/>
      <c r="Q603" s="42"/>
      <c r="R603" s="42"/>
      <c r="S603" s="42"/>
      <c r="T603" s="42"/>
      <c r="U603" s="67"/>
      <c r="V603" s="220"/>
      <c r="W603" s="48"/>
      <c r="X603" s="49"/>
      <c r="Y603" s="43"/>
      <c r="Z603" s="49"/>
      <c r="AA603" s="43"/>
      <c r="AB603" s="43"/>
      <c r="AC603" s="49"/>
      <c r="AE603" s="43"/>
      <c r="AF603" s="69"/>
      <c r="AI603" s="46"/>
      <c r="AJ603" s="138"/>
      <c r="AK603" s="138"/>
      <c r="AL603" s="138"/>
      <c r="AM603" s="42"/>
      <c r="AO603" s="42"/>
      <c r="AQ603" s="43"/>
      <c r="AR603" s="43"/>
      <c r="AS603" s="44"/>
      <c r="AT603" s="44"/>
      <c r="AU603" s="44"/>
      <c r="AW603" s="42"/>
      <c r="AX603" s="42"/>
      <c r="AY603" s="45"/>
      <c r="AZ603" s="47"/>
      <c r="BB603" s="42"/>
      <c r="BC603" s="42"/>
      <c r="BD603" s="42"/>
      <c r="BE603" s="42"/>
      <c r="BF603" s="42"/>
      <c r="BG603" s="43"/>
      <c r="BH603" s="44"/>
      <c r="BI603" s="43"/>
      <c r="BJ603" s="43"/>
      <c r="BM603" s="43"/>
      <c r="BO603" s="43"/>
      <c r="BP603" s="69"/>
      <c r="BR603" s="43"/>
      <c r="BS603" s="43"/>
      <c r="BV603" s="49"/>
      <c r="BW603" s="43"/>
      <c r="BX603" s="42"/>
      <c r="BY603" s="51"/>
      <c r="CA603" s="49"/>
      <c r="CC603" s="43"/>
      <c r="CD603" s="49"/>
      <c r="CE603" s="43"/>
      <c r="CF603" s="43"/>
      <c r="CH603" s="43"/>
      <c r="CK603" s="43"/>
    </row>
    <row r="604" spans="2:89" x14ac:dyDescent="0.25">
      <c r="B604" s="89"/>
      <c r="C604" s="123"/>
      <c r="D604" s="47"/>
      <c r="E604" s="40"/>
      <c r="F604" s="43"/>
      <c r="G604" s="43"/>
      <c r="H604" s="41"/>
      <c r="I604" s="42"/>
      <c r="J604" s="42"/>
      <c r="K604" s="84"/>
      <c r="L604" s="45"/>
      <c r="M604" s="50"/>
      <c r="N604" s="42"/>
      <c r="O604" s="42"/>
      <c r="P604" s="42"/>
      <c r="Q604" s="42"/>
      <c r="R604" s="42"/>
      <c r="S604" s="42"/>
      <c r="T604" s="42"/>
      <c r="U604" s="67"/>
      <c r="V604" s="220"/>
      <c r="W604" s="48"/>
      <c r="X604" s="49"/>
      <c r="Y604" s="43"/>
      <c r="Z604" s="49"/>
      <c r="AA604" s="43"/>
      <c r="AB604" s="43"/>
      <c r="AC604" s="49"/>
      <c r="AE604" s="43"/>
      <c r="AF604" s="69"/>
      <c r="AI604" s="46"/>
      <c r="AJ604" s="138"/>
      <c r="AK604" s="138"/>
      <c r="AL604" s="138"/>
      <c r="AM604" s="42"/>
      <c r="AO604" s="42"/>
      <c r="AQ604" s="43"/>
      <c r="AR604" s="43"/>
      <c r="AS604" s="44"/>
      <c r="AT604" s="44"/>
      <c r="AU604" s="44"/>
      <c r="AW604" s="42"/>
      <c r="AX604" s="42"/>
      <c r="AY604" s="45"/>
      <c r="AZ604" s="47"/>
      <c r="BB604" s="42"/>
      <c r="BC604" s="42"/>
      <c r="BD604" s="42"/>
      <c r="BE604" s="42"/>
      <c r="BF604" s="42"/>
      <c r="BG604" s="43"/>
      <c r="BH604" s="44"/>
      <c r="BI604" s="43"/>
      <c r="BJ604" s="43"/>
      <c r="BM604" s="43"/>
      <c r="BO604" s="43"/>
      <c r="BP604" s="69"/>
      <c r="BR604" s="43"/>
      <c r="BS604" s="43"/>
      <c r="BV604" s="49"/>
      <c r="BW604" s="43"/>
      <c r="BX604" s="42"/>
      <c r="BY604" s="51"/>
      <c r="CA604" s="49"/>
      <c r="CC604" s="43"/>
      <c r="CD604" s="49"/>
      <c r="CE604" s="43"/>
      <c r="CF604" s="43"/>
      <c r="CH604" s="43"/>
      <c r="CK604" s="43"/>
    </row>
    <row r="605" spans="2:89" x14ac:dyDescent="0.25">
      <c r="B605" s="89"/>
      <c r="C605" s="123"/>
      <c r="D605" s="47"/>
      <c r="E605" s="40"/>
      <c r="F605" s="43"/>
      <c r="G605" s="43"/>
      <c r="H605" s="41"/>
      <c r="I605" s="42"/>
      <c r="J605" s="42"/>
      <c r="K605" s="84"/>
      <c r="L605" s="45"/>
      <c r="M605" s="43"/>
      <c r="N605" s="42"/>
      <c r="O605" s="42"/>
      <c r="P605" s="42"/>
      <c r="Q605" s="42"/>
      <c r="R605" s="42"/>
      <c r="S605" s="42"/>
      <c r="T605" s="42"/>
      <c r="U605" s="67"/>
      <c r="V605" s="220"/>
      <c r="W605" s="48"/>
      <c r="X605" s="49"/>
      <c r="Y605" s="43"/>
      <c r="Z605" s="49"/>
      <c r="AA605" s="43"/>
      <c r="AB605" s="43"/>
      <c r="AC605" s="49"/>
      <c r="AE605" s="43"/>
      <c r="AF605" s="69"/>
      <c r="AI605" s="46"/>
      <c r="AJ605" s="138"/>
      <c r="AK605" s="138"/>
      <c r="AL605" s="138"/>
      <c r="AM605" s="42"/>
      <c r="AO605" s="42"/>
      <c r="AQ605" s="43"/>
      <c r="AR605" s="43"/>
      <c r="AS605" s="44"/>
      <c r="AT605" s="44"/>
      <c r="AU605" s="44"/>
      <c r="AW605" s="42"/>
      <c r="AX605" s="42"/>
      <c r="AY605" s="45"/>
      <c r="AZ605" s="47"/>
      <c r="BB605" s="42"/>
      <c r="BC605" s="42"/>
      <c r="BD605" s="42"/>
      <c r="BE605" s="42"/>
      <c r="BF605" s="42"/>
      <c r="BG605" s="43"/>
      <c r="BH605" s="44"/>
      <c r="BI605" s="43"/>
      <c r="BJ605" s="43"/>
      <c r="BM605" s="43"/>
      <c r="BO605" s="43"/>
      <c r="BP605" s="69"/>
      <c r="BR605" s="43"/>
      <c r="BS605" s="43"/>
      <c r="BV605" s="49"/>
      <c r="BW605" s="43"/>
      <c r="BX605" s="42"/>
      <c r="BY605" s="51"/>
      <c r="CA605" s="49"/>
      <c r="CC605" s="43"/>
      <c r="CD605" s="49"/>
      <c r="CE605" s="43"/>
      <c r="CF605" s="43"/>
      <c r="CH605" s="43"/>
      <c r="CK605" s="43"/>
    </row>
    <row r="606" spans="2:89" x14ac:dyDescent="0.25">
      <c r="B606" s="89"/>
      <c r="C606" s="123"/>
      <c r="D606" s="47"/>
      <c r="E606" s="40"/>
      <c r="F606" s="43"/>
      <c r="G606" s="43"/>
      <c r="H606" s="41"/>
      <c r="I606" s="42"/>
      <c r="J606" s="42"/>
      <c r="K606" s="84"/>
      <c r="L606" s="45"/>
      <c r="M606" s="43"/>
      <c r="N606" s="42"/>
      <c r="O606" s="42"/>
      <c r="P606" s="223"/>
      <c r="Q606" s="42"/>
      <c r="R606" s="42"/>
      <c r="S606" s="42"/>
      <c r="T606" s="42"/>
      <c r="U606" s="67"/>
      <c r="V606" s="220"/>
      <c r="W606" s="48"/>
      <c r="X606" s="49"/>
      <c r="Y606" s="43"/>
      <c r="Z606" s="49"/>
      <c r="AA606" s="43"/>
      <c r="AB606" s="43"/>
      <c r="AC606" s="49"/>
      <c r="AE606" s="43"/>
      <c r="AF606" s="69"/>
      <c r="AI606" s="46"/>
      <c r="AJ606" s="138"/>
      <c r="AK606" s="138"/>
      <c r="AL606" s="138"/>
      <c r="AM606" s="42"/>
      <c r="AO606" s="42"/>
      <c r="AQ606" s="43"/>
      <c r="AR606" s="43"/>
      <c r="AS606" s="44"/>
      <c r="AT606" s="44"/>
      <c r="AU606" s="44"/>
      <c r="AW606" s="42"/>
      <c r="AX606" s="42"/>
      <c r="AY606" s="45"/>
      <c r="AZ606" s="47"/>
    </row>
    <row r="607" spans="2:89" x14ac:dyDescent="0.25">
      <c r="B607" s="89"/>
      <c r="C607" s="123"/>
      <c r="D607" s="47"/>
      <c r="E607" s="40"/>
      <c r="F607" s="43"/>
      <c r="G607" s="43"/>
      <c r="H607" s="41"/>
      <c r="I607" s="42"/>
      <c r="J607" s="42"/>
      <c r="K607" s="84"/>
      <c r="L607" s="45"/>
      <c r="M607" s="43"/>
      <c r="N607" s="42"/>
      <c r="O607" s="42"/>
      <c r="P607" s="42"/>
      <c r="Q607" s="42"/>
      <c r="R607" s="42"/>
      <c r="S607" s="42"/>
      <c r="T607" s="42"/>
      <c r="U607" s="67"/>
      <c r="V607" s="220"/>
      <c r="W607" s="48"/>
      <c r="X607" s="49"/>
      <c r="Y607" s="43"/>
      <c r="Z607" s="49"/>
      <c r="AA607" s="43"/>
      <c r="AB607" s="43"/>
      <c r="AC607" s="49"/>
      <c r="AE607" s="43"/>
      <c r="AF607" s="69"/>
      <c r="AI607" s="46"/>
      <c r="AJ607" s="138"/>
      <c r="AK607" s="138"/>
      <c r="AL607" s="138"/>
      <c r="AM607" s="42"/>
      <c r="AO607" s="42"/>
      <c r="AQ607" s="43"/>
      <c r="AR607" s="43"/>
      <c r="AS607" s="44"/>
      <c r="AT607" s="44"/>
      <c r="AU607" s="44"/>
      <c r="AW607" s="42"/>
      <c r="AX607" s="42"/>
      <c r="AY607" s="45"/>
      <c r="AZ607" s="47"/>
    </row>
    <row r="608" spans="2:89" ht="15.75" customHeight="1" x14ac:dyDescent="0.25">
      <c r="B608" s="89"/>
      <c r="C608" s="123"/>
      <c r="D608" s="47"/>
      <c r="E608" s="40"/>
      <c r="F608" s="43"/>
      <c r="G608" s="43"/>
      <c r="H608" s="41"/>
      <c r="I608" s="42"/>
      <c r="J608" s="42"/>
      <c r="K608" s="84"/>
      <c r="L608" s="45"/>
      <c r="M608" s="50"/>
      <c r="N608" s="42"/>
      <c r="O608" s="42"/>
      <c r="P608" s="42"/>
      <c r="Q608" s="42"/>
      <c r="R608" s="42"/>
      <c r="S608" s="42"/>
      <c r="T608" s="42"/>
      <c r="U608" s="67"/>
      <c r="V608" s="220"/>
      <c r="W608" s="48"/>
      <c r="X608" s="49"/>
      <c r="Y608" s="43"/>
      <c r="Z608" s="49"/>
      <c r="AA608" s="43"/>
      <c r="AB608" s="43"/>
      <c r="AC608" s="49"/>
      <c r="AE608" s="43"/>
      <c r="AF608" s="69"/>
      <c r="AI608" s="46"/>
      <c r="AJ608" s="138"/>
      <c r="AK608" s="138"/>
      <c r="AL608" s="138"/>
      <c r="AM608" s="42"/>
      <c r="AO608" s="42"/>
      <c r="AQ608" s="43"/>
      <c r="AR608" s="43"/>
      <c r="AS608" s="44"/>
      <c r="AT608" s="44"/>
      <c r="AU608" s="44"/>
      <c r="AW608" s="42"/>
      <c r="AX608" s="42"/>
      <c r="AY608" s="45"/>
      <c r="AZ608" s="47"/>
    </row>
    <row r="609" spans="2:89" ht="15.75" customHeight="1" x14ac:dyDescent="0.25">
      <c r="B609" s="89"/>
      <c r="C609" s="123"/>
      <c r="D609" s="47"/>
      <c r="E609" s="40"/>
      <c r="F609" s="43"/>
      <c r="G609" s="43"/>
      <c r="H609" s="41"/>
      <c r="I609" s="42"/>
      <c r="J609" s="42"/>
      <c r="K609" s="84"/>
      <c r="L609" s="45"/>
      <c r="M609" s="50"/>
      <c r="N609" s="42"/>
      <c r="O609" s="42"/>
      <c r="P609" s="42"/>
      <c r="Q609" s="42"/>
      <c r="R609" s="42"/>
      <c r="S609" s="42"/>
      <c r="T609" s="42"/>
      <c r="U609" s="67"/>
      <c r="V609" s="220"/>
      <c r="W609" s="48"/>
      <c r="X609" s="49"/>
      <c r="Y609" s="43"/>
      <c r="Z609" s="49"/>
      <c r="AA609" s="43"/>
      <c r="AB609" s="43"/>
      <c r="AC609" s="49"/>
      <c r="AE609" s="43"/>
      <c r="AF609" s="69"/>
      <c r="AI609" s="46"/>
      <c r="AJ609" s="138"/>
      <c r="AK609" s="138"/>
      <c r="AL609" s="138"/>
      <c r="AM609" s="42"/>
      <c r="AO609" s="42"/>
      <c r="AQ609" s="43"/>
      <c r="AR609" s="43"/>
      <c r="AS609" s="44"/>
      <c r="AT609" s="44"/>
      <c r="AU609" s="44"/>
      <c r="AW609" s="42"/>
      <c r="AX609" s="42"/>
      <c r="AY609" s="45"/>
      <c r="AZ609" s="47"/>
    </row>
    <row r="610" spans="2:89" x14ac:dyDescent="0.25">
      <c r="B610" s="89"/>
      <c r="C610" s="123"/>
      <c r="D610" s="47"/>
      <c r="E610" s="40"/>
      <c r="F610" s="43"/>
      <c r="G610" s="43"/>
      <c r="H610" s="41"/>
      <c r="I610" s="42"/>
      <c r="J610" s="42"/>
      <c r="K610" s="84"/>
      <c r="L610" s="45"/>
      <c r="M610" s="50"/>
      <c r="N610" s="42"/>
      <c r="O610" s="42"/>
      <c r="P610" s="42"/>
      <c r="Q610" s="42"/>
      <c r="R610" s="42"/>
      <c r="S610" s="42"/>
      <c r="T610" s="42"/>
      <c r="U610" s="67"/>
      <c r="V610" s="222"/>
      <c r="W610" s="48"/>
      <c r="X610" s="49"/>
      <c r="Y610" s="43"/>
      <c r="Z610" s="49"/>
      <c r="AA610" s="43"/>
      <c r="AB610" s="43"/>
      <c r="AC610" s="49"/>
      <c r="AE610" s="43"/>
      <c r="AF610" s="69"/>
      <c r="AI610" s="46"/>
      <c r="AJ610" s="138"/>
      <c r="AK610" s="138"/>
      <c r="AL610" s="138"/>
      <c r="AM610" s="42"/>
      <c r="AO610" s="42"/>
      <c r="AQ610" s="43"/>
      <c r="AR610" s="43"/>
      <c r="AS610" s="44"/>
      <c r="AT610" s="44"/>
      <c r="AU610" s="44"/>
      <c r="AW610" s="42"/>
      <c r="AX610" s="42"/>
      <c r="AY610" s="45"/>
      <c r="AZ610" s="47"/>
    </row>
    <row r="611" spans="2:89" x14ac:dyDescent="0.25">
      <c r="B611" s="89"/>
      <c r="C611" s="123"/>
      <c r="D611" s="47"/>
      <c r="E611" s="40"/>
      <c r="F611" s="43"/>
      <c r="G611" s="43"/>
      <c r="H611" s="41"/>
      <c r="I611" s="42"/>
      <c r="J611" s="42"/>
      <c r="K611" s="84"/>
      <c r="L611" s="45"/>
      <c r="M611" s="50"/>
      <c r="N611" s="42"/>
      <c r="O611" s="42"/>
      <c r="P611" s="42"/>
      <c r="Q611" s="42"/>
      <c r="R611" s="42"/>
      <c r="S611" s="42"/>
      <c r="T611" s="42"/>
      <c r="U611" s="67"/>
      <c r="V611" s="220"/>
      <c r="W611" s="48"/>
      <c r="X611" s="49"/>
      <c r="Y611" s="43"/>
      <c r="Z611" s="49"/>
      <c r="AA611" s="43"/>
      <c r="AB611" s="43"/>
      <c r="AC611" s="49"/>
      <c r="AE611" s="43"/>
      <c r="AF611" s="69"/>
      <c r="AI611" s="46"/>
      <c r="AJ611" s="138"/>
      <c r="AK611" s="138"/>
      <c r="AL611" s="138"/>
      <c r="AM611" s="42"/>
      <c r="AO611" s="42"/>
      <c r="AQ611" s="43"/>
      <c r="AR611" s="43"/>
      <c r="AS611" s="44"/>
      <c r="AT611" s="44"/>
      <c r="AU611" s="44"/>
      <c r="AW611" s="42"/>
      <c r="AX611" s="42"/>
      <c r="AY611" s="45"/>
      <c r="AZ611" s="47"/>
    </row>
    <row r="612" spans="2:89" x14ac:dyDescent="0.25">
      <c r="B612" s="89"/>
      <c r="C612" s="123"/>
      <c r="D612" s="47"/>
      <c r="E612" s="40"/>
      <c r="F612" s="43"/>
      <c r="G612" s="43"/>
      <c r="H612" s="41"/>
      <c r="I612" s="42"/>
      <c r="J612" s="42"/>
      <c r="K612" s="84"/>
      <c r="L612" s="45"/>
      <c r="M612" s="43"/>
      <c r="N612" s="42"/>
      <c r="O612" s="42"/>
      <c r="P612" s="42"/>
      <c r="Q612" s="42"/>
      <c r="R612" s="42"/>
      <c r="S612" s="42"/>
      <c r="T612" s="42"/>
      <c r="U612" s="67"/>
      <c r="V612" s="220"/>
      <c r="W612" s="48"/>
      <c r="X612" s="49"/>
      <c r="Y612" s="43"/>
      <c r="Z612" s="49"/>
      <c r="AA612" s="43"/>
      <c r="AB612" s="43"/>
      <c r="AC612" s="49"/>
      <c r="AE612" s="43"/>
      <c r="AF612" s="69"/>
      <c r="AI612" s="46"/>
      <c r="AJ612" s="138"/>
      <c r="AK612" s="138"/>
      <c r="AL612" s="138"/>
      <c r="AM612" s="42"/>
      <c r="AO612" s="42"/>
      <c r="AQ612" s="43"/>
      <c r="AR612" s="43"/>
      <c r="AS612" s="44"/>
      <c r="AT612" s="44"/>
      <c r="AU612" s="44"/>
      <c r="AW612" s="42"/>
      <c r="AX612" s="42"/>
      <c r="AY612" s="45"/>
      <c r="AZ612" s="47"/>
    </row>
    <row r="613" spans="2:89" x14ac:dyDescent="0.25">
      <c r="B613" s="89"/>
      <c r="C613" s="123"/>
      <c r="D613" s="47"/>
      <c r="E613" s="40"/>
      <c r="F613" s="43"/>
      <c r="G613" s="43"/>
      <c r="H613" s="41"/>
      <c r="I613" s="42"/>
      <c r="J613" s="42"/>
      <c r="K613" s="84"/>
      <c r="L613" s="45"/>
      <c r="M613" s="43"/>
      <c r="N613" s="42"/>
      <c r="O613" s="42"/>
      <c r="P613" s="42"/>
      <c r="Q613" s="42"/>
      <c r="R613" s="42"/>
      <c r="S613" s="42"/>
      <c r="T613" s="42"/>
      <c r="U613" s="67"/>
      <c r="V613" s="220"/>
      <c r="W613" s="48"/>
      <c r="X613" s="49"/>
      <c r="Y613" s="43"/>
      <c r="Z613" s="49"/>
      <c r="AA613" s="43"/>
      <c r="AB613" s="43"/>
      <c r="AC613" s="49"/>
      <c r="AE613" s="43"/>
      <c r="AF613" s="69"/>
      <c r="AI613" s="46"/>
      <c r="AJ613" s="138"/>
      <c r="AK613" s="138"/>
      <c r="AL613" s="138"/>
      <c r="AM613" s="42"/>
      <c r="AO613" s="42"/>
      <c r="AQ613" s="43"/>
      <c r="AR613" s="43"/>
      <c r="AS613" s="44"/>
      <c r="AT613" s="44"/>
      <c r="AU613" s="44"/>
      <c r="AW613" s="42"/>
      <c r="AX613" s="42"/>
      <c r="AY613" s="45"/>
      <c r="AZ613" s="47"/>
    </row>
    <row r="614" spans="2:89" x14ac:dyDescent="0.25">
      <c r="B614" s="89"/>
      <c r="C614" s="123"/>
      <c r="D614" s="47"/>
      <c r="E614" s="40"/>
      <c r="F614" s="43"/>
      <c r="G614" s="43"/>
      <c r="H614" s="41"/>
      <c r="I614" s="42"/>
      <c r="J614" s="42"/>
      <c r="K614" s="84"/>
      <c r="L614" s="45"/>
      <c r="M614" s="50"/>
      <c r="N614" s="42"/>
      <c r="O614" s="42"/>
      <c r="P614" s="42"/>
      <c r="Q614" s="42"/>
      <c r="R614" s="42"/>
      <c r="S614" s="42"/>
      <c r="T614" s="42"/>
      <c r="U614" s="67"/>
      <c r="V614" s="220"/>
      <c r="W614" s="48"/>
      <c r="X614" s="49"/>
      <c r="Y614" s="43"/>
      <c r="Z614" s="49"/>
      <c r="AA614" s="43"/>
      <c r="AB614" s="43"/>
      <c r="AC614" s="49"/>
      <c r="AE614" s="43"/>
      <c r="AF614" s="69"/>
      <c r="AI614" s="46"/>
      <c r="AJ614" s="138"/>
      <c r="AK614" s="138"/>
      <c r="AL614" s="138"/>
      <c r="AM614" s="42"/>
      <c r="AO614" s="42"/>
      <c r="AQ614" s="43"/>
      <c r="AR614" s="43"/>
      <c r="AS614" s="44"/>
      <c r="AT614" s="44"/>
      <c r="AU614" s="44"/>
      <c r="AW614" s="42"/>
      <c r="AX614" s="42"/>
      <c r="AY614" s="45"/>
      <c r="AZ614" s="47"/>
    </row>
    <row r="615" spans="2:89" x14ac:dyDescent="0.25">
      <c r="B615" s="89"/>
      <c r="C615" s="123"/>
      <c r="D615" s="47"/>
      <c r="E615" s="40"/>
      <c r="F615" s="43"/>
      <c r="G615" s="43"/>
      <c r="H615" s="41"/>
      <c r="I615" s="42"/>
      <c r="J615" s="42"/>
      <c r="K615" s="84"/>
      <c r="L615" s="45"/>
      <c r="M615" s="50"/>
      <c r="N615" s="42"/>
      <c r="O615" s="42"/>
      <c r="P615" s="42"/>
      <c r="Q615" s="42"/>
      <c r="R615" s="42"/>
      <c r="S615" s="42"/>
      <c r="T615" s="42"/>
      <c r="U615" s="67"/>
      <c r="V615" s="220"/>
      <c r="W615" s="48"/>
      <c r="X615" s="49"/>
      <c r="Y615" s="43"/>
      <c r="Z615" s="49"/>
      <c r="AA615" s="43"/>
      <c r="AB615" s="43"/>
      <c r="AC615" s="49"/>
      <c r="AE615" s="43"/>
      <c r="AF615" s="69"/>
      <c r="AI615" s="46"/>
      <c r="AJ615" s="138"/>
      <c r="AK615" s="138"/>
      <c r="AL615" s="138"/>
      <c r="AM615" s="42"/>
      <c r="AO615" s="42"/>
      <c r="AQ615" s="43"/>
      <c r="AR615" s="43"/>
      <c r="AS615" s="44"/>
      <c r="AT615" s="44"/>
      <c r="AU615" s="44"/>
      <c r="AW615" s="42"/>
      <c r="AX615" s="42"/>
      <c r="AY615" s="45"/>
      <c r="AZ615" s="47"/>
    </row>
    <row r="616" spans="2:89" x14ac:dyDescent="0.25">
      <c r="B616" s="89"/>
      <c r="C616" s="123"/>
      <c r="D616" s="47"/>
      <c r="E616" s="40"/>
      <c r="F616" s="43"/>
      <c r="G616" s="43"/>
      <c r="H616" s="41"/>
      <c r="I616" s="42"/>
      <c r="J616" s="42"/>
      <c r="K616" s="84"/>
      <c r="L616" s="45"/>
      <c r="M616" s="50"/>
      <c r="N616" s="42"/>
      <c r="O616" s="42"/>
      <c r="P616" s="42"/>
      <c r="Q616" s="42"/>
      <c r="R616" s="42"/>
      <c r="S616" s="42"/>
      <c r="T616" s="42"/>
      <c r="U616" s="67"/>
      <c r="V616" s="220"/>
      <c r="W616" s="48"/>
      <c r="X616" s="49"/>
      <c r="Y616" s="43"/>
      <c r="Z616" s="49"/>
      <c r="AA616" s="43"/>
      <c r="AB616" s="43"/>
      <c r="AC616" s="49"/>
      <c r="AE616" s="43"/>
      <c r="AF616" s="69"/>
      <c r="AI616" s="46"/>
      <c r="AJ616" s="138"/>
      <c r="AK616" s="138"/>
      <c r="AL616" s="138"/>
      <c r="AM616" s="42"/>
      <c r="AO616" s="42"/>
      <c r="AQ616" s="43"/>
      <c r="AR616" s="43"/>
      <c r="AS616" s="44"/>
      <c r="AT616" s="44"/>
      <c r="AU616" s="44"/>
      <c r="AW616" s="42"/>
      <c r="AX616" s="42"/>
      <c r="AY616" s="45"/>
      <c r="AZ616" s="47"/>
    </row>
    <row r="617" spans="2:89" x14ac:dyDescent="0.25">
      <c r="B617" s="89"/>
      <c r="C617" s="123"/>
      <c r="D617" s="47"/>
      <c r="E617" s="40"/>
      <c r="F617" s="43"/>
      <c r="G617" s="43"/>
      <c r="H617" s="41"/>
      <c r="I617" s="42"/>
      <c r="J617" s="42"/>
      <c r="K617" s="84"/>
      <c r="L617" s="45"/>
      <c r="M617" s="50"/>
      <c r="N617" s="42"/>
      <c r="O617" s="42"/>
      <c r="P617" s="42"/>
      <c r="Q617" s="42"/>
      <c r="R617" s="42"/>
      <c r="S617" s="42"/>
      <c r="T617" s="42"/>
      <c r="U617" s="67"/>
      <c r="V617" s="220"/>
      <c r="W617" s="48"/>
      <c r="X617" s="49"/>
      <c r="Y617" s="43"/>
      <c r="Z617" s="49"/>
      <c r="AA617" s="43"/>
      <c r="AB617" s="43"/>
      <c r="AC617" s="49"/>
      <c r="AE617" s="43"/>
      <c r="AF617" s="69"/>
      <c r="AI617" s="46"/>
      <c r="AJ617" s="138"/>
      <c r="AK617" s="138"/>
      <c r="AL617" s="138"/>
      <c r="AM617" s="42"/>
      <c r="AO617" s="42"/>
      <c r="AQ617" s="43"/>
      <c r="AR617" s="43"/>
      <c r="AS617" s="44"/>
      <c r="AT617" s="44"/>
      <c r="AU617" s="44"/>
      <c r="AW617" s="42"/>
      <c r="AX617" s="42"/>
      <c r="AY617" s="45"/>
      <c r="AZ617" s="47"/>
    </row>
    <row r="618" spans="2:89" s="161" customFormat="1" x14ac:dyDescent="0.25">
      <c r="B618" s="89"/>
      <c r="C618" s="123"/>
      <c r="D618" s="47"/>
      <c r="E618" s="40"/>
      <c r="F618" s="43"/>
      <c r="G618" s="43"/>
      <c r="H618" s="41"/>
      <c r="I618" s="42"/>
      <c r="J618" s="42"/>
      <c r="K618" s="84"/>
      <c r="L618" s="45"/>
      <c r="M618" s="43"/>
      <c r="N618" s="42"/>
      <c r="O618" s="42"/>
      <c r="P618" s="42"/>
      <c r="Q618" s="42"/>
      <c r="R618" s="42"/>
      <c r="S618" s="42"/>
      <c r="T618" s="42"/>
      <c r="U618" s="67"/>
      <c r="V618" s="220"/>
      <c r="W618" s="48"/>
      <c r="X618" s="49"/>
      <c r="Y618" s="43"/>
      <c r="Z618" s="49"/>
      <c r="AA618" s="43"/>
      <c r="AB618" s="43"/>
      <c r="AC618" s="49"/>
      <c r="AD618" s="43"/>
      <c r="AE618" s="43"/>
      <c r="AF618" s="69"/>
      <c r="AG618" s="43"/>
      <c r="AH618" s="43"/>
      <c r="AI618" s="46"/>
      <c r="AJ618" s="138"/>
      <c r="AK618" s="138"/>
      <c r="AL618" s="138"/>
      <c r="AM618" s="42"/>
      <c r="AN618" s="42"/>
      <c r="AO618" s="42"/>
      <c r="AP618" s="42"/>
      <c r="AQ618" s="43"/>
      <c r="AR618" s="43"/>
      <c r="AS618" s="44"/>
      <c r="AT618" s="44"/>
      <c r="AU618" s="44"/>
      <c r="AV618" s="43"/>
      <c r="AW618" s="42"/>
      <c r="AX618" s="42"/>
      <c r="AY618" s="45"/>
      <c r="AZ618" s="47"/>
      <c r="BG618" s="166"/>
      <c r="BI618" s="160"/>
      <c r="BJ618" s="160"/>
      <c r="BK618" s="160"/>
      <c r="BL618" s="160"/>
      <c r="BM618" s="160"/>
      <c r="BO618" s="167"/>
      <c r="BR618" s="160"/>
      <c r="BS618" s="160"/>
      <c r="BW618" s="165"/>
      <c r="CC618" s="164"/>
      <c r="CE618" s="160"/>
      <c r="CF618" s="168"/>
      <c r="CH618" s="164"/>
      <c r="CK618" s="164"/>
    </row>
    <row r="619" spans="2:89" x14ac:dyDescent="0.25">
      <c r="B619" s="155"/>
      <c r="C619" s="123"/>
      <c r="D619" s="47"/>
      <c r="E619" s="40"/>
      <c r="F619" s="43"/>
      <c r="G619" s="43"/>
      <c r="H619" s="41"/>
      <c r="I619" s="42"/>
      <c r="J619" s="42"/>
      <c r="K619" s="84"/>
      <c r="L619" s="45"/>
      <c r="M619" s="43"/>
      <c r="N619" s="42"/>
      <c r="O619" s="42"/>
      <c r="P619" s="42"/>
      <c r="Q619" s="42"/>
      <c r="R619" s="42"/>
      <c r="S619" s="42"/>
      <c r="T619" s="42"/>
      <c r="U619" s="67"/>
      <c r="V619" s="220"/>
      <c r="W619" s="48"/>
      <c r="X619" s="49"/>
      <c r="Y619" s="43"/>
      <c r="Z619" s="49"/>
      <c r="AA619" s="43"/>
      <c r="AB619" s="43"/>
      <c r="AC619" s="49"/>
      <c r="AE619" s="43"/>
      <c r="AF619" s="69"/>
      <c r="AI619" s="46"/>
      <c r="AJ619" s="138"/>
      <c r="AK619" s="138"/>
      <c r="AL619" s="138"/>
      <c r="AM619" s="42"/>
      <c r="AO619" s="42"/>
      <c r="AQ619" s="43"/>
      <c r="AR619" s="43"/>
      <c r="AS619" s="44"/>
      <c r="AT619" s="44"/>
      <c r="AU619" s="44"/>
      <c r="AW619" s="42"/>
      <c r="AX619" s="42"/>
      <c r="AY619" s="45"/>
      <c r="AZ619" s="47"/>
    </row>
    <row r="620" spans="2:89" x14ac:dyDescent="0.25">
      <c r="B620" s="89"/>
      <c r="C620" s="123"/>
      <c r="D620" s="47"/>
      <c r="E620" s="40"/>
      <c r="F620" s="43"/>
      <c r="G620" s="43"/>
      <c r="H620" s="41"/>
      <c r="I620" s="42"/>
      <c r="J620" s="42"/>
      <c r="K620" s="84"/>
      <c r="L620" s="45"/>
      <c r="M620" s="43"/>
      <c r="N620" s="42"/>
      <c r="O620" s="42"/>
      <c r="P620" s="228"/>
      <c r="Q620" s="42"/>
      <c r="R620" s="42"/>
      <c r="S620" s="42"/>
      <c r="T620" s="42"/>
      <c r="U620" s="67"/>
      <c r="V620" s="220"/>
      <c r="W620" s="48"/>
      <c r="X620" s="49"/>
      <c r="Y620" s="43"/>
      <c r="Z620" s="49"/>
      <c r="AA620" s="43"/>
      <c r="AB620" s="43"/>
      <c r="AC620" s="49"/>
      <c r="AE620" s="43"/>
      <c r="AF620" s="69"/>
      <c r="AI620" s="46"/>
      <c r="AJ620" s="138"/>
      <c r="AK620" s="138"/>
      <c r="AL620" s="138"/>
      <c r="AM620" s="42"/>
      <c r="AO620" s="42"/>
      <c r="AQ620" s="43"/>
      <c r="AR620" s="43"/>
      <c r="AS620" s="44"/>
      <c r="AT620" s="44"/>
      <c r="AU620" s="44"/>
      <c r="AW620" s="42"/>
      <c r="AX620" s="42"/>
      <c r="AY620" s="45"/>
      <c r="AZ620" s="47"/>
    </row>
    <row r="621" spans="2:89" x14ac:dyDescent="0.25">
      <c r="B621" s="89"/>
      <c r="C621" s="123"/>
      <c r="D621" s="47"/>
      <c r="E621" s="40"/>
      <c r="F621" s="43"/>
      <c r="G621" s="43"/>
      <c r="H621" s="41"/>
      <c r="I621" s="42"/>
      <c r="J621" s="42"/>
      <c r="K621" s="84"/>
      <c r="L621" s="45"/>
      <c r="M621" s="43"/>
      <c r="N621" s="42"/>
      <c r="O621" s="42"/>
      <c r="P621" s="224"/>
      <c r="Q621" s="42"/>
      <c r="R621" s="42"/>
      <c r="S621" s="42"/>
      <c r="T621" s="42"/>
      <c r="U621" s="67"/>
      <c r="V621" s="220"/>
      <c r="W621" s="48"/>
      <c r="X621" s="49"/>
      <c r="Y621" s="43"/>
      <c r="Z621" s="49"/>
      <c r="AA621" s="43"/>
      <c r="AB621" s="43"/>
      <c r="AC621" s="49"/>
      <c r="AE621" s="43"/>
      <c r="AF621" s="69"/>
      <c r="AI621" s="46"/>
      <c r="AJ621" s="138"/>
      <c r="AK621" s="138"/>
      <c r="AL621" s="138"/>
      <c r="AM621" s="42"/>
      <c r="AO621" s="42"/>
      <c r="AQ621" s="43"/>
      <c r="AR621" s="43"/>
      <c r="AS621" s="44"/>
      <c r="AT621" s="44"/>
      <c r="AU621" s="44"/>
      <c r="AW621" s="42"/>
      <c r="AX621" s="42"/>
      <c r="AY621" s="45"/>
      <c r="AZ621" s="47"/>
    </row>
    <row r="622" spans="2:89" x14ac:dyDescent="0.25">
      <c r="B622" s="89"/>
      <c r="C622" s="123"/>
      <c r="D622" s="47"/>
      <c r="E622" s="40"/>
      <c r="F622" s="43"/>
      <c r="G622" s="43"/>
      <c r="H622" s="41"/>
      <c r="I622" s="42"/>
      <c r="J622" s="42"/>
      <c r="K622" s="84"/>
      <c r="L622" s="45"/>
      <c r="M622" s="43"/>
      <c r="N622" s="42"/>
      <c r="O622" s="42"/>
      <c r="P622" s="42"/>
      <c r="Q622" s="42"/>
      <c r="R622" s="42"/>
      <c r="S622" s="42"/>
      <c r="T622" s="42"/>
      <c r="U622" s="67"/>
      <c r="V622" s="220"/>
      <c r="W622" s="48"/>
      <c r="X622" s="49"/>
      <c r="Y622" s="43"/>
      <c r="Z622" s="49"/>
      <c r="AA622" s="43"/>
      <c r="AB622" s="43"/>
      <c r="AC622" s="49"/>
      <c r="AE622" s="43"/>
      <c r="AF622" s="69"/>
      <c r="AI622" s="46"/>
      <c r="AJ622" s="138"/>
      <c r="AK622" s="138"/>
      <c r="AL622" s="138"/>
      <c r="AM622" s="42"/>
      <c r="AO622" s="42"/>
      <c r="AQ622" s="43"/>
      <c r="AR622" s="43"/>
      <c r="AS622" s="44"/>
      <c r="AT622" s="44"/>
      <c r="AU622" s="44"/>
      <c r="AW622" s="42"/>
      <c r="AX622" s="42"/>
      <c r="AY622" s="45"/>
      <c r="AZ622" s="47"/>
    </row>
    <row r="623" spans="2:89" x14ac:dyDescent="0.25">
      <c r="B623" s="89"/>
      <c r="C623" s="123"/>
      <c r="D623" s="47"/>
      <c r="E623" s="40"/>
      <c r="F623" s="43"/>
      <c r="G623" s="43"/>
      <c r="H623" s="41"/>
      <c r="I623" s="42"/>
      <c r="J623" s="42"/>
      <c r="K623" s="84"/>
      <c r="L623" s="45"/>
      <c r="M623" s="50"/>
      <c r="N623" s="42"/>
      <c r="O623" s="42"/>
      <c r="P623" s="42"/>
      <c r="Q623" s="42"/>
      <c r="R623" s="42"/>
      <c r="S623" s="42"/>
      <c r="T623" s="42"/>
      <c r="U623" s="67"/>
      <c r="V623" s="220"/>
      <c r="W623" s="48"/>
      <c r="X623" s="49"/>
      <c r="Y623" s="43"/>
      <c r="Z623" s="49"/>
      <c r="AA623" s="43"/>
      <c r="AB623" s="43"/>
      <c r="AC623" s="49"/>
      <c r="AE623" s="43"/>
      <c r="AF623" s="69"/>
      <c r="AI623" s="46"/>
      <c r="AJ623" s="138"/>
      <c r="AK623" s="138"/>
      <c r="AL623" s="138"/>
      <c r="AM623" s="42"/>
      <c r="AO623" s="42"/>
      <c r="AQ623" s="43"/>
      <c r="AR623" s="43"/>
      <c r="AS623" s="44"/>
      <c r="AT623" s="44"/>
      <c r="AU623" s="44"/>
      <c r="AW623" s="42"/>
      <c r="AX623" s="42"/>
      <c r="AY623" s="45"/>
      <c r="AZ623" s="47"/>
    </row>
    <row r="624" spans="2:89" x14ac:dyDescent="0.25">
      <c r="B624" s="89"/>
      <c r="C624" s="123"/>
      <c r="D624" s="47"/>
      <c r="E624" s="40"/>
      <c r="F624" s="43"/>
      <c r="G624" s="43"/>
      <c r="H624" s="41"/>
      <c r="I624" s="42"/>
      <c r="J624" s="42"/>
      <c r="K624" s="84"/>
      <c r="L624" s="45"/>
      <c r="M624" s="43"/>
      <c r="N624" s="42"/>
      <c r="O624" s="42"/>
      <c r="P624" s="42"/>
      <c r="Q624" s="42"/>
      <c r="R624" s="42"/>
      <c r="S624" s="42"/>
      <c r="T624" s="42"/>
      <c r="U624" s="67"/>
      <c r="V624" s="220"/>
      <c r="W624" s="48"/>
      <c r="X624" s="49"/>
      <c r="Y624" s="43"/>
      <c r="Z624" s="49"/>
      <c r="AA624" s="43"/>
      <c r="AB624" s="43"/>
      <c r="AC624" s="49"/>
      <c r="AE624" s="43"/>
      <c r="AF624" s="69"/>
      <c r="AI624" s="46"/>
      <c r="AJ624" s="138"/>
      <c r="AK624" s="138"/>
      <c r="AL624" s="138"/>
      <c r="AM624" s="42"/>
      <c r="AO624" s="42"/>
      <c r="AQ624" s="43"/>
      <c r="AR624" s="43"/>
      <c r="AS624" s="44"/>
      <c r="AT624" s="44"/>
      <c r="AU624" s="44"/>
      <c r="AW624" s="42"/>
      <c r="AX624" s="42"/>
      <c r="AY624" s="45"/>
      <c r="AZ624" s="47"/>
    </row>
    <row r="625" spans="2:52" x14ac:dyDescent="0.25">
      <c r="B625" s="89"/>
      <c r="C625" s="123"/>
      <c r="D625" s="47"/>
      <c r="E625" s="40"/>
      <c r="F625" s="43"/>
      <c r="G625" s="43"/>
      <c r="H625" s="41"/>
      <c r="I625" s="42"/>
      <c r="J625" s="42"/>
      <c r="K625" s="84"/>
      <c r="L625" s="45"/>
      <c r="M625" s="50"/>
      <c r="N625" s="42"/>
      <c r="O625" s="42"/>
      <c r="P625" s="42"/>
      <c r="Q625" s="42"/>
      <c r="R625" s="42"/>
      <c r="S625" s="42"/>
      <c r="T625" s="42"/>
      <c r="U625" s="67"/>
      <c r="V625" s="220"/>
      <c r="W625" s="48"/>
      <c r="X625" s="49"/>
      <c r="Y625" s="43"/>
      <c r="Z625" s="49"/>
      <c r="AA625" s="43"/>
      <c r="AB625" s="43"/>
      <c r="AC625" s="49"/>
      <c r="AE625" s="43"/>
      <c r="AF625" s="69"/>
      <c r="AI625" s="46"/>
      <c r="AJ625" s="138"/>
      <c r="AK625" s="138"/>
      <c r="AL625" s="138"/>
      <c r="AM625" s="42"/>
      <c r="AO625" s="42"/>
      <c r="AQ625" s="43"/>
      <c r="AR625" s="43"/>
      <c r="AS625" s="44"/>
      <c r="AT625" s="44"/>
      <c r="AU625" s="44"/>
      <c r="AW625" s="42"/>
      <c r="AX625" s="42"/>
      <c r="AY625" s="45"/>
      <c r="AZ625" s="47"/>
    </row>
    <row r="626" spans="2:52" x14ac:dyDescent="0.25">
      <c r="B626" s="89"/>
      <c r="C626" s="123"/>
      <c r="D626" s="47"/>
      <c r="E626" s="40"/>
      <c r="F626" s="43"/>
      <c r="G626" s="43"/>
      <c r="H626" s="41"/>
      <c r="I626" s="42"/>
      <c r="J626" s="42"/>
      <c r="K626" s="84"/>
      <c r="L626" s="45"/>
      <c r="M626" s="50"/>
      <c r="N626" s="42"/>
      <c r="O626" s="42"/>
      <c r="P626" s="42"/>
      <c r="Q626" s="42"/>
      <c r="R626" s="42"/>
      <c r="S626" s="42"/>
      <c r="T626" s="42"/>
      <c r="U626" s="67"/>
      <c r="V626" s="220"/>
      <c r="W626" s="48"/>
      <c r="X626" s="49"/>
      <c r="Y626" s="43"/>
      <c r="Z626" s="49"/>
      <c r="AA626" s="43"/>
      <c r="AB626" s="43"/>
      <c r="AC626" s="49"/>
      <c r="AE626" s="43"/>
      <c r="AF626" s="69"/>
      <c r="AI626" s="46"/>
      <c r="AJ626" s="138"/>
      <c r="AK626" s="138"/>
      <c r="AL626" s="138"/>
      <c r="AM626" s="42"/>
      <c r="AO626" s="42"/>
      <c r="AQ626" s="43"/>
      <c r="AR626" s="43"/>
      <c r="AS626" s="44"/>
      <c r="AT626" s="44"/>
      <c r="AU626" s="44"/>
      <c r="AW626" s="42"/>
      <c r="AX626" s="42"/>
      <c r="AY626" s="45"/>
      <c r="AZ626" s="47"/>
    </row>
    <row r="627" spans="2:52" x14ac:dyDescent="0.25">
      <c r="B627" s="89"/>
      <c r="C627" s="123"/>
      <c r="D627" s="47"/>
      <c r="E627" s="40"/>
      <c r="F627" s="43"/>
      <c r="G627" s="43"/>
      <c r="H627" s="41"/>
      <c r="I627" s="42"/>
      <c r="J627" s="42"/>
      <c r="K627" s="84"/>
      <c r="L627" s="45"/>
      <c r="M627" s="50"/>
      <c r="N627" s="42"/>
      <c r="O627" s="42"/>
      <c r="P627" s="42"/>
      <c r="Q627" s="42"/>
      <c r="R627" s="42"/>
      <c r="S627" s="42"/>
      <c r="T627" s="42"/>
      <c r="U627" s="67"/>
      <c r="V627" s="220"/>
      <c r="W627" s="48"/>
      <c r="X627" s="49"/>
      <c r="Y627" s="43"/>
      <c r="Z627" s="49"/>
      <c r="AA627" s="43"/>
      <c r="AB627" s="43"/>
      <c r="AC627" s="49"/>
      <c r="AE627" s="43"/>
      <c r="AF627" s="69"/>
      <c r="AI627" s="46"/>
      <c r="AJ627" s="138"/>
      <c r="AK627" s="138"/>
      <c r="AL627" s="138"/>
      <c r="AM627" s="42"/>
      <c r="AO627" s="42"/>
      <c r="AQ627" s="43"/>
      <c r="AR627" s="43"/>
      <c r="AS627" s="44"/>
      <c r="AT627" s="44"/>
      <c r="AU627" s="44"/>
      <c r="AW627" s="42"/>
      <c r="AX627" s="42"/>
      <c r="AY627" s="45"/>
      <c r="AZ627" s="47"/>
    </row>
    <row r="628" spans="2:52" x14ac:dyDescent="0.25">
      <c r="B628" s="89"/>
      <c r="C628" s="123"/>
      <c r="D628" s="47"/>
      <c r="E628" s="40"/>
      <c r="F628" s="43"/>
      <c r="G628" s="43"/>
      <c r="H628" s="41"/>
      <c r="I628" s="42"/>
      <c r="J628" s="42"/>
      <c r="K628" s="84"/>
      <c r="L628" s="45"/>
      <c r="M628" s="43"/>
      <c r="N628" s="42"/>
      <c r="O628" s="42"/>
      <c r="P628" s="42"/>
      <c r="Q628" s="42"/>
      <c r="R628" s="42"/>
      <c r="S628" s="42"/>
      <c r="T628" s="42"/>
      <c r="U628" s="67"/>
      <c r="V628" s="220"/>
      <c r="W628" s="48"/>
      <c r="X628" s="49"/>
      <c r="Y628" s="43"/>
      <c r="Z628" s="49"/>
      <c r="AA628" s="43"/>
      <c r="AB628" s="43"/>
      <c r="AC628" s="49"/>
      <c r="AE628" s="43"/>
      <c r="AF628" s="69"/>
      <c r="AI628" s="46"/>
      <c r="AJ628" s="138"/>
      <c r="AK628" s="138"/>
      <c r="AL628" s="138"/>
      <c r="AM628" s="42"/>
      <c r="AO628" s="42"/>
      <c r="AQ628" s="43"/>
      <c r="AR628" s="43"/>
      <c r="AS628" s="44"/>
      <c r="AT628" s="44"/>
      <c r="AU628" s="44"/>
      <c r="AW628" s="42"/>
      <c r="AX628" s="42"/>
      <c r="AY628" s="45"/>
      <c r="AZ628" s="47"/>
    </row>
    <row r="629" spans="2:52" x14ac:dyDescent="0.25">
      <c r="B629" s="89"/>
      <c r="C629" s="123"/>
      <c r="D629" s="47"/>
      <c r="E629" s="40"/>
      <c r="F629" s="43"/>
      <c r="G629" s="43"/>
      <c r="H629" s="41"/>
      <c r="I629" s="42"/>
      <c r="J629" s="42"/>
      <c r="K629" s="84"/>
      <c r="L629" s="45"/>
      <c r="M629" s="50"/>
      <c r="N629" s="42"/>
      <c r="O629" s="42"/>
      <c r="P629" s="42"/>
      <c r="Q629" s="42"/>
      <c r="R629" s="42"/>
      <c r="S629" s="42"/>
      <c r="T629" s="42"/>
      <c r="U629" s="67"/>
      <c r="V629" s="220"/>
      <c r="W629" s="48"/>
      <c r="X629" s="49"/>
      <c r="Y629" s="43"/>
      <c r="Z629" s="49"/>
      <c r="AA629" s="43"/>
      <c r="AB629" s="43"/>
      <c r="AC629" s="49"/>
      <c r="AE629" s="43"/>
      <c r="AF629" s="69"/>
      <c r="AI629" s="46"/>
      <c r="AJ629" s="138"/>
      <c r="AK629" s="138"/>
      <c r="AL629" s="138"/>
      <c r="AM629" s="42"/>
      <c r="AO629" s="42"/>
      <c r="AQ629" s="43"/>
      <c r="AR629" s="43"/>
      <c r="AS629" s="44"/>
      <c r="AT629" s="44"/>
      <c r="AU629" s="44"/>
      <c r="AW629" s="42"/>
      <c r="AX629" s="42"/>
      <c r="AY629" s="45"/>
      <c r="AZ629" s="47"/>
    </row>
    <row r="630" spans="2:52" x14ac:dyDescent="0.25">
      <c r="B630" s="89"/>
      <c r="C630" s="123"/>
      <c r="D630" s="47"/>
      <c r="E630" s="40"/>
      <c r="F630" s="43"/>
      <c r="G630" s="43"/>
      <c r="H630" s="41"/>
      <c r="I630" s="42"/>
      <c r="J630" s="42"/>
      <c r="K630" s="84"/>
      <c r="L630" s="45"/>
      <c r="M630" s="50"/>
      <c r="N630" s="42"/>
      <c r="O630" s="42"/>
      <c r="P630" s="42"/>
      <c r="Q630" s="42"/>
      <c r="R630" s="42"/>
      <c r="S630" s="42"/>
      <c r="T630" s="42"/>
      <c r="U630" s="67"/>
      <c r="V630" s="220"/>
      <c r="W630" s="48"/>
      <c r="X630" s="49"/>
      <c r="Y630" s="43"/>
      <c r="Z630" s="49"/>
      <c r="AA630" s="43"/>
      <c r="AB630" s="43"/>
      <c r="AC630" s="49"/>
      <c r="AE630" s="43"/>
      <c r="AF630" s="69"/>
      <c r="AI630" s="46"/>
      <c r="AJ630" s="138"/>
      <c r="AK630" s="138"/>
      <c r="AL630" s="138"/>
      <c r="AM630" s="42"/>
      <c r="AO630" s="42"/>
      <c r="AQ630" s="43"/>
      <c r="AR630" s="43"/>
      <c r="AS630" s="44"/>
      <c r="AT630" s="44"/>
      <c r="AU630" s="44"/>
      <c r="AW630" s="42"/>
      <c r="AX630" s="42"/>
      <c r="AY630" s="45"/>
      <c r="AZ630" s="47"/>
    </row>
    <row r="631" spans="2:52" x14ac:dyDescent="0.25">
      <c r="B631" s="89"/>
      <c r="C631" s="123"/>
      <c r="D631" s="47"/>
      <c r="E631" s="40"/>
      <c r="F631" s="43"/>
      <c r="G631" s="43"/>
      <c r="H631" s="41"/>
      <c r="I631" s="42"/>
      <c r="J631" s="42"/>
      <c r="K631" s="84"/>
      <c r="L631" s="45"/>
      <c r="M631" s="50"/>
      <c r="N631" s="42"/>
      <c r="O631" s="42"/>
      <c r="P631" s="42"/>
      <c r="Q631" s="42"/>
      <c r="R631" s="42"/>
      <c r="S631" s="42"/>
      <c r="T631" s="42"/>
      <c r="U631" s="67"/>
      <c r="V631" s="220"/>
      <c r="W631" s="48"/>
      <c r="X631" s="49"/>
      <c r="Y631" s="43"/>
      <c r="Z631" s="49"/>
      <c r="AA631" s="43"/>
      <c r="AB631" s="43"/>
      <c r="AC631" s="49"/>
      <c r="AE631" s="43"/>
      <c r="AF631" s="69"/>
      <c r="AI631" s="46"/>
      <c r="AJ631" s="138"/>
      <c r="AK631" s="138"/>
      <c r="AL631" s="138"/>
      <c r="AM631" s="42"/>
      <c r="AO631" s="42"/>
      <c r="AQ631" s="43"/>
      <c r="AR631" s="43"/>
      <c r="AS631" s="44"/>
      <c r="AT631" s="44"/>
      <c r="AU631" s="44"/>
      <c r="AW631" s="42"/>
      <c r="AX631" s="42"/>
      <c r="AY631" s="45"/>
      <c r="AZ631" s="47"/>
    </row>
    <row r="632" spans="2:52" x14ac:dyDescent="0.25">
      <c r="B632" s="89"/>
      <c r="C632" s="123"/>
      <c r="D632" s="47"/>
      <c r="E632" s="40"/>
      <c r="F632" s="43"/>
      <c r="G632" s="43"/>
      <c r="H632" s="41"/>
      <c r="I632" s="122"/>
      <c r="J632" s="122"/>
      <c r="K632" s="84"/>
      <c r="L632" s="45"/>
      <c r="M632" s="50"/>
      <c r="N632" s="42"/>
      <c r="O632" s="42"/>
      <c r="P632" s="42"/>
      <c r="Q632" s="42"/>
      <c r="R632" s="42"/>
      <c r="S632" s="42"/>
      <c r="T632" s="42"/>
      <c r="U632" s="67"/>
      <c r="V632" s="220"/>
      <c r="W632" s="48"/>
      <c r="X632" s="49"/>
      <c r="Y632" s="43"/>
      <c r="Z632" s="49"/>
      <c r="AA632" s="43"/>
      <c r="AB632" s="43"/>
      <c r="AC632" s="49"/>
      <c r="AE632" s="43"/>
      <c r="AF632" s="69"/>
      <c r="AI632" s="46"/>
      <c r="AJ632" s="138"/>
      <c r="AK632" s="138"/>
      <c r="AL632" s="138"/>
      <c r="AM632" s="42"/>
      <c r="AO632" s="42"/>
      <c r="AQ632" s="43"/>
      <c r="AR632" s="43"/>
      <c r="AS632" s="44"/>
      <c r="AT632" s="44"/>
      <c r="AU632" s="44"/>
      <c r="AW632" s="42"/>
      <c r="AX632" s="42"/>
      <c r="AY632" s="45"/>
      <c r="AZ632" s="47"/>
    </row>
    <row r="633" spans="2:52" x14ac:dyDescent="0.25">
      <c r="B633" s="89"/>
      <c r="C633" s="123"/>
      <c r="D633" s="47"/>
      <c r="E633" s="40"/>
      <c r="F633" s="43"/>
      <c r="G633" s="43"/>
      <c r="H633" s="41"/>
      <c r="I633" s="42"/>
      <c r="J633" s="42"/>
      <c r="K633" s="84"/>
      <c r="L633" s="45"/>
      <c r="M633" s="50"/>
      <c r="N633" s="42"/>
      <c r="O633" s="42"/>
      <c r="P633" s="42"/>
      <c r="Q633" s="42"/>
      <c r="R633" s="42"/>
      <c r="S633" s="42"/>
      <c r="T633" s="42"/>
      <c r="U633" s="67"/>
      <c r="V633" s="220"/>
      <c r="W633" s="48"/>
      <c r="X633" s="49"/>
      <c r="Y633" s="43"/>
      <c r="Z633" s="49"/>
      <c r="AA633" s="43"/>
      <c r="AB633" s="43"/>
      <c r="AC633" s="49"/>
      <c r="AE633" s="43"/>
      <c r="AF633" s="69"/>
      <c r="AI633" s="46"/>
      <c r="AJ633" s="138"/>
      <c r="AK633" s="138"/>
      <c r="AL633" s="138"/>
      <c r="AM633" s="42"/>
      <c r="AO633" s="42"/>
      <c r="AQ633" s="43"/>
      <c r="AR633" s="43"/>
      <c r="AS633" s="44"/>
      <c r="AT633" s="44"/>
      <c r="AU633" s="44"/>
      <c r="AW633" s="42"/>
      <c r="AX633" s="42"/>
      <c r="AY633" s="45"/>
      <c r="AZ633" s="47"/>
    </row>
    <row r="634" spans="2:52" x14ac:dyDescent="0.25">
      <c r="B634" s="89"/>
      <c r="C634" s="123"/>
      <c r="D634" s="47"/>
      <c r="E634" s="40"/>
      <c r="F634" s="43"/>
      <c r="G634" s="43"/>
      <c r="H634" s="41"/>
      <c r="I634" s="42"/>
      <c r="J634" s="42"/>
      <c r="K634" s="84"/>
      <c r="L634" s="45"/>
      <c r="M634" s="43"/>
      <c r="N634" s="42"/>
      <c r="O634" s="42"/>
      <c r="P634" s="229"/>
      <c r="Q634" s="42"/>
      <c r="R634" s="42"/>
      <c r="S634" s="42"/>
      <c r="T634" s="42"/>
      <c r="U634" s="67"/>
      <c r="V634" s="220"/>
      <c r="W634" s="48"/>
      <c r="X634" s="49"/>
      <c r="Y634" s="43"/>
      <c r="Z634" s="49"/>
      <c r="AA634" s="43"/>
      <c r="AB634" s="43"/>
      <c r="AC634" s="49"/>
      <c r="AE634" s="43"/>
      <c r="AF634" s="69"/>
      <c r="AI634" s="46"/>
      <c r="AJ634" s="138"/>
      <c r="AK634" s="138"/>
      <c r="AL634" s="138"/>
      <c r="AM634" s="42"/>
      <c r="AO634" s="42"/>
      <c r="AQ634" s="43"/>
      <c r="AR634" s="43"/>
      <c r="AS634" s="44"/>
      <c r="AT634" s="44"/>
      <c r="AU634" s="44"/>
      <c r="AW634" s="42"/>
      <c r="AX634" s="42"/>
      <c r="AY634" s="45"/>
      <c r="AZ634" s="47"/>
    </row>
    <row r="635" spans="2:52" x14ac:dyDescent="0.25">
      <c r="B635" s="89"/>
      <c r="C635" s="123"/>
      <c r="D635" s="47"/>
      <c r="E635" s="40"/>
      <c r="F635" s="43"/>
      <c r="G635" s="43"/>
      <c r="H635" s="41"/>
      <c r="I635" s="42"/>
      <c r="J635" s="42"/>
      <c r="K635" s="84"/>
      <c r="L635" s="45"/>
      <c r="M635" s="50"/>
      <c r="N635" s="42"/>
      <c r="O635" s="42"/>
      <c r="P635" s="42"/>
      <c r="Q635" s="42"/>
      <c r="R635" s="42"/>
      <c r="S635" s="42"/>
      <c r="T635" s="42"/>
      <c r="U635" s="67"/>
      <c r="V635" s="220"/>
      <c r="W635" s="48"/>
      <c r="X635" s="49"/>
      <c r="Y635" s="43"/>
      <c r="Z635" s="49"/>
      <c r="AA635" s="43"/>
      <c r="AB635" s="43"/>
      <c r="AC635" s="49"/>
      <c r="AE635" s="43"/>
      <c r="AF635" s="69"/>
      <c r="AI635" s="46"/>
      <c r="AJ635" s="138"/>
      <c r="AK635" s="138"/>
      <c r="AL635" s="138"/>
      <c r="AM635" s="42"/>
      <c r="AO635" s="42"/>
      <c r="AQ635" s="43"/>
      <c r="AR635" s="43"/>
      <c r="AS635" s="44"/>
      <c r="AT635" s="44"/>
      <c r="AU635" s="44"/>
      <c r="AW635" s="42"/>
      <c r="AX635" s="42"/>
      <c r="AY635" s="45"/>
      <c r="AZ635" s="47"/>
    </row>
    <row r="636" spans="2:52" x14ac:dyDescent="0.25">
      <c r="B636" s="89"/>
      <c r="C636" s="123"/>
      <c r="D636" s="47"/>
      <c r="E636" s="40"/>
      <c r="F636" s="43"/>
      <c r="G636" s="43"/>
      <c r="H636" s="41"/>
      <c r="I636" s="42"/>
      <c r="J636" s="42"/>
      <c r="K636" s="84"/>
      <c r="L636" s="45"/>
      <c r="M636" s="50"/>
      <c r="N636" s="42"/>
      <c r="O636" s="42"/>
      <c r="P636" s="42"/>
      <c r="Q636" s="42"/>
      <c r="R636" s="42"/>
      <c r="S636" s="42"/>
      <c r="T636" s="42"/>
      <c r="U636" s="67"/>
      <c r="V636" s="220"/>
      <c r="W636" s="48"/>
      <c r="X636" s="49"/>
      <c r="Y636" s="43"/>
      <c r="Z636" s="49"/>
      <c r="AA636" s="43"/>
      <c r="AB636" s="43"/>
      <c r="AC636" s="49"/>
      <c r="AE636" s="43"/>
      <c r="AF636" s="69"/>
      <c r="AI636" s="46"/>
      <c r="AJ636" s="138"/>
      <c r="AK636" s="138"/>
      <c r="AL636" s="138"/>
      <c r="AM636" s="42"/>
      <c r="AO636" s="42"/>
      <c r="AQ636" s="43"/>
      <c r="AR636" s="43"/>
      <c r="AS636" s="44"/>
      <c r="AT636" s="44"/>
      <c r="AU636" s="44"/>
      <c r="AW636" s="42"/>
      <c r="AX636" s="42"/>
      <c r="AY636" s="45"/>
      <c r="AZ636" s="47"/>
    </row>
    <row r="637" spans="2:52" x14ac:dyDescent="0.25">
      <c r="B637" s="89"/>
      <c r="C637" s="123"/>
      <c r="D637" s="47"/>
      <c r="E637" s="40"/>
      <c r="F637" s="43"/>
      <c r="G637" s="43"/>
      <c r="H637" s="41"/>
      <c r="I637" s="42"/>
      <c r="J637" s="42"/>
      <c r="K637" s="84"/>
      <c r="L637" s="45"/>
      <c r="M637" s="50"/>
      <c r="N637" s="42"/>
      <c r="O637" s="42"/>
      <c r="P637" s="42"/>
      <c r="Q637" s="42"/>
      <c r="R637" s="42"/>
      <c r="S637" s="42"/>
      <c r="T637" s="42"/>
      <c r="U637" s="67"/>
      <c r="V637" s="220"/>
      <c r="W637" s="48"/>
      <c r="X637" s="49"/>
      <c r="Y637" s="43"/>
      <c r="Z637" s="49"/>
      <c r="AA637" s="43"/>
      <c r="AB637" s="43"/>
      <c r="AC637" s="49"/>
      <c r="AE637" s="43"/>
      <c r="AF637" s="69"/>
      <c r="AI637" s="46"/>
      <c r="AJ637" s="138"/>
      <c r="AK637" s="138"/>
      <c r="AL637" s="138"/>
      <c r="AM637" s="42"/>
      <c r="AO637" s="42"/>
      <c r="AQ637" s="43"/>
      <c r="AR637" s="43"/>
      <c r="AS637" s="44"/>
      <c r="AT637" s="44"/>
      <c r="AU637" s="44"/>
      <c r="AW637" s="42"/>
      <c r="AX637" s="42"/>
      <c r="AY637" s="45"/>
      <c r="AZ637" s="47"/>
    </row>
    <row r="638" spans="2:52" x14ac:dyDescent="0.25">
      <c r="B638" s="89"/>
      <c r="C638" s="123"/>
      <c r="D638" s="47"/>
      <c r="E638" s="40"/>
      <c r="F638" s="43"/>
      <c r="G638" s="43"/>
      <c r="H638" s="41"/>
      <c r="I638" s="42"/>
      <c r="J638" s="42"/>
      <c r="K638" s="84"/>
      <c r="L638" s="45"/>
      <c r="M638" s="43"/>
      <c r="N638" s="42"/>
      <c r="O638" s="42"/>
      <c r="P638" s="42"/>
      <c r="Q638" s="42"/>
      <c r="R638" s="42"/>
      <c r="S638" s="42"/>
      <c r="T638" s="42"/>
      <c r="U638" s="67"/>
      <c r="V638" s="220"/>
      <c r="W638" s="48"/>
      <c r="X638" s="49"/>
      <c r="Y638" s="43"/>
      <c r="Z638" s="49"/>
      <c r="AA638" s="43"/>
      <c r="AB638" s="43"/>
      <c r="AC638" s="49"/>
      <c r="AE638" s="43"/>
      <c r="AF638" s="69"/>
      <c r="AI638" s="46"/>
      <c r="AJ638" s="138"/>
      <c r="AK638" s="138"/>
      <c r="AL638" s="138"/>
      <c r="AM638" s="42"/>
      <c r="AO638" s="42"/>
      <c r="AQ638" s="43"/>
      <c r="AR638" s="43"/>
      <c r="AS638" s="44"/>
      <c r="AT638" s="44"/>
      <c r="AU638" s="44"/>
      <c r="AW638" s="42"/>
      <c r="AX638" s="42"/>
      <c r="AY638" s="45"/>
      <c r="AZ638" s="47"/>
    </row>
    <row r="639" spans="2:52" x14ac:dyDescent="0.25">
      <c r="B639" s="89"/>
      <c r="C639" s="123"/>
      <c r="D639" s="47"/>
      <c r="E639" s="40"/>
      <c r="F639" s="43"/>
      <c r="G639" s="43"/>
      <c r="H639" s="41"/>
      <c r="I639" s="42"/>
      <c r="J639" s="42"/>
      <c r="K639" s="84"/>
      <c r="L639" s="45"/>
      <c r="M639" s="43"/>
      <c r="N639" s="42"/>
      <c r="O639" s="42"/>
      <c r="P639" s="229"/>
      <c r="Q639" s="42"/>
      <c r="R639" s="42"/>
      <c r="S639" s="42"/>
      <c r="T639" s="42"/>
      <c r="U639" s="67"/>
      <c r="V639" s="220"/>
      <c r="W639" s="48"/>
      <c r="X639" s="49"/>
      <c r="Y639" s="43"/>
      <c r="Z639" s="49"/>
      <c r="AA639" s="43"/>
      <c r="AB639" s="43"/>
      <c r="AC639" s="49"/>
      <c r="AE639" s="43"/>
      <c r="AF639" s="69"/>
      <c r="AI639" s="46"/>
      <c r="AJ639" s="138"/>
      <c r="AK639" s="138"/>
      <c r="AL639" s="138"/>
      <c r="AM639" s="42"/>
      <c r="AO639" s="42"/>
      <c r="AQ639" s="43"/>
      <c r="AR639" s="43"/>
      <c r="AS639" s="44"/>
      <c r="AT639" s="44"/>
      <c r="AU639" s="44"/>
      <c r="AW639" s="42"/>
      <c r="AX639" s="42"/>
      <c r="AY639" s="45"/>
      <c r="AZ639" s="47"/>
    </row>
    <row r="640" spans="2:52" x14ac:dyDescent="0.25">
      <c r="B640" s="89"/>
      <c r="C640" s="123"/>
      <c r="D640" s="47"/>
      <c r="E640" s="40"/>
      <c r="F640" s="43"/>
      <c r="G640" s="43"/>
      <c r="H640" s="41"/>
      <c r="I640" s="42"/>
      <c r="J640" s="42"/>
      <c r="K640" s="84"/>
      <c r="L640" s="45"/>
      <c r="M640" s="43"/>
      <c r="N640" s="42"/>
      <c r="O640" s="42"/>
      <c r="P640" s="229"/>
      <c r="Q640" s="42"/>
      <c r="R640" s="42"/>
      <c r="S640" s="42"/>
      <c r="T640" s="42"/>
      <c r="U640" s="67"/>
      <c r="V640" s="220"/>
      <c r="W640" s="48"/>
      <c r="X640" s="49"/>
      <c r="Y640" s="43"/>
      <c r="Z640" s="49"/>
      <c r="AA640" s="43"/>
      <c r="AB640" s="43"/>
      <c r="AC640" s="49"/>
      <c r="AE640" s="43"/>
      <c r="AF640" s="69"/>
      <c r="AI640" s="46"/>
      <c r="AJ640" s="138"/>
      <c r="AK640" s="138"/>
      <c r="AL640" s="138"/>
      <c r="AM640" s="42"/>
      <c r="AO640" s="42"/>
      <c r="AQ640" s="43"/>
      <c r="AR640" s="43"/>
      <c r="AS640" s="44"/>
      <c r="AT640" s="44"/>
      <c r="AU640" s="44"/>
      <c r="AW640" s="42"/>
      <c r="AX640" s="42"/>
      <c r="AY640" s="45"/>
      <c r="AZ640" s="47"/>
    </row>
    <row r="641" spans="2:52" x14ac:dyDescent="0.25">
      <c r="B641" s="89"/>
      <c r="C641" s="123"/>
      <c r="D641" s="47"/>
      <c r="E641" s="40"/>
      <c r="F641" s="43"/>
      <c r="G641" s="43"/>
      <c r="H641" s="41"/>
      <c r="I641" s="42"/>
      <c r="J641" s="42"/>
      <c r="K641" s="84"/>
      <c r="L641" s="45"/>
      <c r="M641" s="50"/>
      <c r="N641" s="42"/>
      <c r="O641" s="42"/>
      <c r="P641" s="42"/>
      <c r="Q641" s="42"/>
      <c r="R641" s="42"/>
      <c r="S641" s="42"/>
      <c r="T641" s="42"/>
      <c r="U641" s="67"/>
      <c r="V641" s="234"/>
      <c r="W641" s="48"/>
      <c r="X641" s="49"/>
      <c r="Y641" s="43"/>
      <c r="Z641" s="49"/>
      <c r="AA641" s="43"/>
      <c r="AB641" s="43"/>
      <c r="AC641" s="49"/>
      <c r="AE641" s="43"/>
      <c r="AF641" s="69"/>
      <c r="AI641" s="46"/>
      <c r="AJ641" s="138"/>
      <c r="AK641" s="138"/>
      <c r="AL641" s="138"/>
      <c r="AM641" s="42"/>
      <c r="AO641" s="42"/>
      <c r="AQ641" s="43"/>
      <c r="AR641" s="43"/>
      <c r="AS641" s="44"/>
      <c r="AT641" s="44"/>
      <c r="AU641" s="44"/>
      <c r="AW641" s="42"/>
      <c r="AX641" s="42"/>
      <c r="AY641" s="45"/>
      <c r="AZ641" s="47"/>
    </row>
    <row r="642" spans="2:52" x14ac:dyDescent="0.25">
      <c r="B642" s="89"/>
      <c r="C642" s="123"/>
      <c r="D642" s="47"/>
      <c r="E642" s="40"/>
      <c r="F642" s="43"/>
      <c r="G642" s="43"/>
      <c r="H642" s="41"/>
      <c r="I642" s="42"/>
      <c r="J642" s="42"/>
      <c r="K642" s="84"/>
      <c r="L642" s="45"/>
      <c r="M642" s="43"/>
      <c r="N642" s="42"/>
      <c r="O642" s="42"/>
      <c r="P642" s="42"/>
      <c r="Q642" s="42"/>
      <c r="R642" s="42"/>
      <c r="S642" s="42"/>
      <c r="T642" s="42"/>
      <c r="U642" s="67"/>
      <c r="V642" s="220"/>
      <c r="W642" s="48"/>
      <c r="X642" s="49"/>
      <c r="Y642" s="43"/>
      <c r="Z642" s="49"/>
      <c r="AA642" s="43"/>
      <c r="AB642" s="43"/>
      <c r="AC642" s="49"/>
      <c r="AE642" s="43"/>
      <c r="AF642" s="69"/>
      <c r="AI642" s="46"/>
      <c r="AJ642" s="138"/>
      <c r="AK642" s="138"/>
      <c r="AL642" s="138"/>
      <c r="AM642" s="42"/>
      <c r="AO642" s="42"/>
      <c r="AQ642" s="43"/>
      <c r="AR642" s="43"/>
      <c r="AS642" s="44"/>
      <c r="AT642" s="44"/>
      <c r="AU642" s="44"/>
      <c r="AW642" s="42"/>
      <c r="AX642" s="42"/>
      <c r="AY642" s="45"/>
      <c r="AZ642" s="47"/>
    </row>
    <row r="643" spans="2:52" x14ac:dyDescent="0.25">
      <c r="B643" s="89"/>
      <c r="C643" s="123"/>
      <c r="D643" s="47"/>
      <c r="E643" s="40"/>
      <c r="F643" s="43"/>
      <c r="G643" s="43"/>
      <c r="H643" s="41"/>
      <c r="I643" s="42"/>
      <c r="J643" s="42"/>
      <c r="K643" s="84"/>
      <c r="L643" s="45"/>
      <c r="M643" s="43"/>
      <c r="N643" s="42"/>
      <c r="O643" s="42"/>
      <c r="P643" s="42"/>
      <c r="Q643" s="42"/>
      <c r="R643" s="42"/>
      <c r="S643" s="42"/>
      <c r="T643" s="42"/>
      <c r="U643" s="67"/>
      <c r="V643" s="220"/>
      <c r="W643" s="48"/>
      <c r="X643" s="49"/>
      <c r="Y643" s="43"/>
      <c r="Z643" s="49"/>
      <c r="AA643" s="43"/>
      <c r="AB643" s="43"/>
      <c r="AC643" s="49"/>
      <c r="AE643" s="43"/>
      <c r="AF643" s="69"/>
      <c r="AI643" s="46"/>
      <c r="AJ643" s="138"/>
      <c r="AK643" s="138"/>
      <c r="AL643" s="138"/>
      <c r="AM643" s="42"/>
      <c r="AO643" s="42"/>
      <c r="AQ643" s="43"/>
      <c r="AR643" s="43"/>
      <c r="AS643" s="44"/>
      <c r="AT643" s="44"/>
      <c r="AU643" s="44"/>
      <c r="AW643" s="42"/>
      <c r="AX643" s="42"/>
      <c r="AY643" s="45"/>
      <c r="AZ643" s="47"/>
    </row>
    <row r="644" spans="2:52" x14ac:dyDescent="0.25">
      <c r="B644" s="89"/>
      <c r="C644" s="123"/>
      <c r="D644" s="47"/>
      <c r="E644" s="40"/>
      <c r="F644" s="43"/>
      <c r="G644" s="43"/>
      <c r="H644" s="41"/>
      <c r="I644" s="42"/>
      <c r="J644" s="42"/>
      <c r="K644" s="84"/>
      <c r="L644" s="45"/>
      <c r="M644" s="50"/>
      <c r="N644" s="42"/>
      <c r="O644" s="42"/>
      <c r="P644" s="42"/>
      <c r="Q644" s="42"/>
      <c r="R644" s="42"/>
      <c r="S644" s="42"/>
      <c r="T644" s="42"/>
      <c r="U644" s="67"/>
      <c r="V644" s="220"/>
      <c r="W644" s="48"/>
      <c r="X644" s="49"/>
      <c r="Y644" s="43"/>
      <c r="Z644" s="49"/>
      <c r="AA644" s="43"/>
      <c r="AB644" s="43"/>
      <c r="AC644" s="49"/>
      <c r="AE644" s="43"/>
      <c r="AF644" s="69"/>
      <c r="AI644" s="46"/>
      <c r="AJ644" s="138"/>
      <c r="AK644" s="138"/>
      <c r="AL644" s="138"/>
      <c r="AM644" s="42"/>
      <c r="AO644" s="42"/>
      <c r="AQ644" s="43"/>
      <c r="AR644" s="43"/>
      <c r="AS644" s="44"/>
      <c r="AT644" s="44"/>
      <c r="AU644" s="44"/>
      <c r="AW644" s="42"/>
      <c r="AX644" s="42"/>
      <c r="AY644" s="45"/>
      <c r="AZ644" s="47"/>
    </row>
    <row r="645" spans="2:52" x14ac:dyDescent="0.25">
      <c r="B645" s="89"/>
      <c r="C645" s="123"/>
      <c r="D645" s="47"/>
      <c r="E645" s="40"/>
      <c r="F645" s="43"/>
      <c r="G645" s="43"/>
      <c r="H645" s="41"/>
      <c r="I645" s="42"/>
      <c r="J645" s="42"/>
      <c r="K645" s="84"/>
      <c r="L645" s="45"/>
      <c r="M645" s="50"/>
      <c r="N645" s="42"/>
      <c r="O645" s="42"/>
      <c r="P645" s="42"/>
      <c r="Q645" s="42"/>
      <c r="R645" s="42"/>
      <c r="S645" s="42"/>
      <c r="T645" s="42"/>
      <c r="U645" s="67"/>
      <c r="V645" s="220"/>
      <c r="W645" s="48"/>
      <c r="X645" s="49"/>
      <c r="Y645" s="43"/>
      <c r="Z645" s="49"/>
      <c r="AA645" s="43"/>
      <c r="AB645" s="43"/>
      <c r="AC645" s="49"/>
      <c r="AE645" s="43"/>
      <c r="AF645" s="69"/>
      <c r="AI645" s="46"/>
      <c r="AJ645" s="138"/>
      <c r="AK645" s="138"/>
      <c r="AL645" s="138"/>
      <c r="AM645" s="42"/>
      <c r="AO645" s="42"/>
      <c r="AQ645" s="43"/>
      <c r="AR645" s="43"/>
      <c r="AS645" s="44"/>
      <c r="AT645" s="44"/>
      <c r="AU645" s="44"/>
      <c r="AW645" s="42"/>
      <c r="AX645" s="42"/>
      <c r="AY645" s="45"/>
      <c r="AZ645" s="47"/>
    </row>
    <row r="646" spans="2:52" x14ac:dyDescent="0.25">
      <c r="B646" s="89"/>
      <c r="C646" s="123"/>
      <c r="D646" s="47"/>
      <c r="E646" s="40"/>
      <c r="F646" s="43"/>
      <c r="G646" s="43"/>
      <c r="H646" s="41"/>
      <c r="I646" s="42"/>
      <c r="J646" s="42"/>
      <c r="K646" s="84"/>
      <c r="L646" s="45"/>
      <c r="M646" s="50"/>
      <c r="N646" s="42"/>
      <c r="O646" s="42"/>
      <c r="P646" s="42"/>
      <c r="Q646" s="42"/>
      <c r="R646" s="42"/>
      <c r="S646" s="42"/>
      <c r="T646" s="42"/>
      <c r="U646" s="67"/>
      <c r="V646" s="220"/>
      <c r="W646" s="48"/>
      <c r="X646" s="49"/>
      <c r="Y646" s="43"/>
      <c r="Z646" s="49"/>
      <c r="AA646" s="43"/>
      <c r="AB646" s="43"/>
      <c r="AC646" s="49"/>
      <c r="AE646" s="43"/>
      <c r="AF646" s="69"/>
      <c r="AI646" s="46"/>
      <c r="AJ646" s="138"/>
      <c r="AK646" s="138"/>
      <c r="AL646" s="138"/>
      <c r="AM646" s="42"/>
      <c r="AO646" s="42"/>
      <c r="AQ646" s="43"/>
      <c r="AR646" s="43"/>
      <c r="AS646" s="44"/>
      <c r="AT646" s="44"/>
      <c r="AU646" s="44"/>
      <c r="AW646" s="42"/>
      <c r="AX646" s="42"/>
      <c r="AY646" s="45"/>
      <c r="AZ646" s="47"/>
    </row>
    <row r="647" spans="2:52" x14ac:dyDescent="0.25">
      <c r="B647" s="89"/>
      <c r="C647" s="123"/>
      <c r="D647" s="47"/>
      <c r="E647" s="40"/>
      <c r="F647" s="43"/>
      <c r="G647" s="43"/>
      <c r="H647" s="41"/>
      <c r="I647" s="42"/>
      <c r="J647" s="42"/>
      <c r="K647" s="84"/>
      <c r="L647" s="45"/>
      <c r="M647" s="50"/>
      <c r="N647" s="42"/>
      <c r="O647" s="42"/>
      <c r="P647" s="42"/>
      <c r="Q647" s="42"/>
      <c r="R647" s="42"/>
      <c r="S647" s="42"/>
      <c r="T647" s="42"/>
      <c r="U647" s="67"/>
      <c r="V647" s="220"/>
      <c r="W647" s="48"/>
      <c r="X647" s="49"/>
      <c r="Y647" s="43"/>
      <c r="Z647" s="49"/>
      <c r="AA647" s="43"/>
      <c r="AB647" s="43"/>
      <c r="AC647" s="49"/>
      <c r="AE647" s="43"/>
      <c r="AF647" s="69"/>
      <c r="AI647" s="46"/>
      <c r="AJ647" s="138"/>
      <c r="AK647" s="138"/>
      <c r="AL647" s="138"/>
      <c r="AM647" s="42"/>
      <c r="AO647" s="42"/>
      <c r="AQ647" s="43"/>
      <c r="AR647" s="43"/>
      <c r="AS647" s="44"/>
      <c r="AT647" s="44"/>
      <c r="AU647" s="44"/>
      <c r="AW647" s="42"/>
      <c r="AX647" s="42"/>
      <c r="AY647" s="45"/>
      <c r="AZ647" s="47"/>
    </row>
    <row r="648" spans="2:52" x14ac:dyDescent="0.25">
      <c r="B648" s="89"/>
      <c r="C648" s="123"/>
      <c r="D648" s="47"/>
      <c r="E648" s="40"/>
      <c r="F648" s="43"/>
      <c r="G648" s="43"/>
      <c r="H648" s="41"/>
      <c r="I648" s="42"/>
      <c r="J648" s="42"/>
      <c r="K648" s="84"/>
      <c r="L648" s="45"/>
      <c r="M648" s="50"/>
      <c r="N648" s="42"/>
      <c r="O648" s="42"/>
      <c r="P648" s="42"/>
      <c r="Q648" s="42"/>
      <c r="R648" s="42"/>
      <c r="S648" s="42"/>
      <c r="T648" s="42"/>
      <c r="U648" s="67"/>
      <c r="V648" s="220"/>
      <c r="W648" s="48"/>
      <c r="X648" s="49"/>
      <c r="Y648" s="43"/>
      <c r="Z648" s="49"/>
      <c r="AA648" s="43"/>
      <c r="AB648" s="43"/>
      <c r="AC648" s="49"/>
      <c r="AE648" s="43"/>
      <c r="AF648" s="69"/>
      <c r="AI648" s="46"/>
      <c r="AJ648" s="138"/>
      <c r="AK648" s="138"/>
      <c r="AL648" s="138"/>
      <c r="AM648" s="42"/>
      <c r="AO648" s="42"/>
      <c r="AQ648" s="43"/>
      <c r="AR648" s="43"/>
      <c r="AS648" s="44"/>
      <c r="AT648" s="44"/>
      <c r="AU648" s="44"/>
      <c r="AW648" s="42"/>
      <c r="AX648" s="42"/>
      <c r="AY648" s="45"/>
      <c r="AZ648" s="47"/>
    </row>
    <row r="649" spans="2:52" x14ac:dyDescent="0.25">
      <c r="B649" s="89"/>
      <c r="C649" s="123"/>
      <c r="D649" s="47"/>
      <c r="E649" s="40"/>
      <c r="F649" s="43"/>
      <c r="G649" s="43"/>
      <c r="H649" s="41"/>
      <c r="I649" s="42"/>
      <c r="J649" s="42"/>
      <c r="K649" s="84"/>
      <c r="L649" s="45"/>
      <c r="M649" s="50"/>
      <c r="N649" s="42"/>
      <c r="O649" s="42"/>
      <c r="P649" s="229"/>
      <c r="Q649" s="42"/>
      <c r="R649" s="42"/>
      <c r="S649" s="42"/>
      <c r="T649" s="42"/>
      <c r="U649" s="67"/>
      <c r="V649" s="220"/>
      <c r="W649" s="48"/>
      <c r="X649" s="49"/>
      <c r="Y649" s="43"/>
      <c r="Z649" s="49"/>
      <c r="AA649" s="43"/>
      <c r="AB649" s="43"/>
      <c r="AC649" s="49"/>
      <c r="AE649" s="43"/>
      <c r="AF649" s="69"/>
      <c r="AI649" s="46"/>
      <c r="AJ649" s="138"/>
      <c r="AK649" s="138"/>
      <c r="AL649" s="138"/>
      <c r="AM649" s="42"/>
      <c r="AO649" s="42"/>
      <c r="AQ649" s="43"/>
      <c r="AR649" s="43"/>
      <c r="AS649" s="44"/>
      <c r="AT649" s="44"/>
      <c r="AU649" s="44"/>
      <c r="AW649" s="42"/>
      <c r="AX649" s="42"/>
      <c r="AY649" s="45"/>
      <c r="AZ649" s="47"/>
    </row>
    <row r="650" spans="2:52" x14ac:dyDescent="0.25">
      <c r="B650" s="89"/>
      <c r="C650" s="123"/>
      <c r="D650" s="47"/>
      <c r="E650" s="40"/>
      <c r="F650" s="43"/>
      <c r="G650" s="43"/>
      <c r="H650" s="41"/>
      <c r="I650" s="42"/>
      <c r="J650" s="42"/>
      <c r="K650" s="84"/>
      <c r="L650" s="45"/>
      <c r="M650" s="50"/>
      <c r="N650" s="42"/>
      <c r="O650" s="42"/>
      <c r="P650" s="42"/>
      <c r="Q650" s="42"/>
      <c r="R650" s="42"/>
      <c r="S650" s="42"/>
      <c r="T650" s="42"/>
      <c r="U650" s="67"/>
      <c r="V650" s="220"/>
      <c r="W650" s="48"/>
      <c r="X650" s="49"/>
      <c r="Y650" s="43"/>
      <c r="Z650" s="49"/>
      <c r="AA650" s="43"/>
      <c r="AB650" s="43"/>
      <c r="AC650" s="49"/>
      <c r="AE650" s="43"/>
      <c r="AF650" s="69"/>
      <c r="AI650" s="46"/>
      <c r="AJ650" s="138"/>
      <c r="AK650" s="138"/>
      <c r="AL650" s="138"/>
      <c r="AM650" s="42"/>
      <c r="AO650" s="42"/>
      <c r="AQ650" s="43"/>
      <c r="AR650" s="43"/>
      <c r="AS650" s="44"/>
      <c r="AT650" s="44"/>
      <c r="AU650" s="44"/>
      <c r="AW650" s="42"/>
      <c r="AX650" s="42"/>
      <c r="AY650" s="45"/>
      <c r="AZ650" s="47"/>
    </row>
    <row r="651" spans="2:52" x14ac:dyDescent="0.25">
      <c r="B651" s="194"/>
      <c r="C651" s="124"/>
      <c r="D651" s="143"/>
      <c r="E651" s="40"/>
      <c r="F651" s="172"/>
      <c r="G651" s="172"/>
      <c r="H651" s="41"/>
      <c r="I651" s="204"/>
      <c r="J651" s="193"/>
      <c r="K651" s="84"/>
      <c r="L651" s="45"/>
      <c r="M651" s="43"/>
      <c r="N651" s="42"/>
      <c r="O651" s="42"/>
      <c r="P651" s="42"/>
      <c r="Q651" s="42"/>
      <c r="R651" s="42"/>
      <c r="S651" s="227"/>
      <c r="T651" s="42"/>
      <c r="U651" s="196"/>
      <c r="V651" s="221"/>
      <c r="W651" s="48"/>
      <c r="X651" s="49"/>
      <c r="Y651" s="43"/>
      <c r="Z651" s="49"/>
      <c r="AA651" s="43"/>
      <c r="AB651" s="43"/>
      <c r="AC651" s="49"/>
      <c r="AE651" s="43"/>
      <c r="AF651" s="69"/>
      <c r="AG651" s="69"/>
      <c r="AH651" s="69"/>
      <c r="AI651" s="46"/>
      <c r="AJ651" s="139"/>
      <c r="AK651" s="198"/>
      <c r="AL651" s="198"/>
      <c r="AM651" s="74"/>
      <c r="AN651" s="74"/>
      <c r="AO651" s="74"/>
      <c r="AP651" s="74"/>
      <c r="AQ651" s="81"/>
      <c r="AR651" s="81"/>
      <c r="AS651" s="82"/>
      <c r="AT651" s="82"/>
      <c r="AU651" s="249"/>
      <c r="AV651" s="81"/>
      <c r="AW651" s="74"/>
      <c r="AX651" s="74"/>
      <c r="AY651" s="74"/>
      <c r="AZ651" s="83"/>
    </row>
    <row r="652" spans="2:52" x14ac:dyDescent="0.25">
      <c r="B652" s="157"/>
      <c r="C652" s="124"/>
      <c r="D652" s="47"/>
      <c r="E652" s="40"/>
      <c r="F652" s="43"/>
      <c r="G652" s="43"/>
      <c r="H652" s="41"/>
      <c r="I652" s="42"/>
      <c r="J652" s="42"/>
      <c r="K652" s="84"/>
      <c r="L652" s="45"/>
      <c r="M652" s="43"/>
      <c r="N652" s="42"/>
      <c r="O652" s="42"/>
      <c r="P652" s="42"/>
      <c r="Q652" s="42"/>
      <c r="R652" s="42"/>
      <c r="S652" s="42"/>
      <c r="T652" s="42"/>
      <c r="U652" s="67"/>
      <c r="V652" s="220"/>
      <c r="W652" s="48"/>
      <c r="X652" s="49"/>
      <c r="Y652" s="43"/>
      <c r="Z652" s="49"/>
      <c r="AA652" s="43"/>
      <c r="AB652" s="43"/>
      <c r="AC652" s="49"/>
      <c r="AE652" s="43"/>
      <c r="AF652" s="69"/>
      <c r="AI652" s="46"/>
      <c r="AJ652" s="138"/>
      <c r="AK652" s="138"/>
      <c r="AL652" s="138"/>
      <c r="AM652" s="42"/>
      <c r="AO652" s="42"/>
      <c r="AQ652" s="43"/>
      <c r="AR652" s="43"/>
      <c r="AS652" s="44"/>
      <c r="AT652" s="44"/>
      <c r="AU652" s="44"/>
      <c r="AW652" s="42"/>
      <c r="AX652" s="42"/>
      <c r="AY652" s="45"/>
      <c r="AZ652" s="47"/>
    </row>
    <row r="653" spans="2:52" x14ac:dyDescent="0.25">
      <c r="B653" s="194"/>
      <c r="C653" s="127"/>
      <c r="D653" s="143"/>
      <c r="E653" s="40"/>
      <c r="F653" s="172"/>
      <c r="G653" s="172"/>
      <c r="H653" s="41"/>
      <c r="I653" s="209"/>
      <c r="J653" s="193"/>
      <c r="K653" s="84"/>
      <c r="L653" s="45"/>
      <c r="M653" s="43"/>
      <c r="N653" s="42"/>
      <c r="O653" s="42"/>
      <c r="P653" s="42"/>
      <c r="Q653" s="42"/>
      <c r="R653" s="42"/>
      <c r="S653" s="227"/>
      <c r="T653" s="42"/>
      <c r="U653" s="196"/>
      <c r="V653" s="221"/>
      <c r="W653" s="48"/>
      <c r="X653" s="49"/>
      <c r="Y653" s="43"/>
      <c r="Z653" s="49"/>
      <c r="AA653" s="43"/>
      <c r="AB653" s="43"/>
      <c r="AC653" s="49"/>
      <c r="AE653" s="43"/>
      <c r="AF653" s="69"/>
      <c r="AG653" s="69"/>
      <c r="AH653" s="69"/>
      <c r="AI653" s="46"/>
      <c r="AJ653" s="197"/>
      <c r="AK653" s="198"/>
      <c r="AL653" s="198"/>
      <c r="AM653" s="74"/>
      <c r="AN653" s="74"/>
      <c r="AO653" s="74"/>
      <c r="AP653" s="74"/>
      <c r="AQ653" s="81"/>
      <c r="AR653" s="81"/>
      <c r="AS653" s="82"/>
      <c r="AT653" s="82"/>
      <c r="AU653" s="249"/>
      <c r="AV653" s="81"/>
      <c r="AW653" s="74"/>
      <c r="AX653" s="74"/>
      <c r="AY653" s="74"/>
      <c r="AZ653" s="83"/>
    </row>
    <row r="654" spans="2:52" x14ac:dyDescent="0.25">
      <c r="B654" s="251"/>
      <c r="C654" s="42">
        <f>SUBTOTAL(103,Tabella1[ENTE ASSEGNATARIO])</f>
        <v>1</v>
      </c>
      <c r="D654" s="42">
        <f>SUBTOTAL(103,Tabella1[SEZIONE])</f>
        <v>1</v>
      </c>
      <c r="E654" s="42">
        <f>SUBTOTAL(103,Tabella1[SITUAZIONE])</f>
        <v>1</v>
      </c>
      <c r="F654" s="42">
        <f>SUBTOTAL(103,Tabella1[CASA COSTRUTTRICE])</f>
        <v>1</v>
      </c>
      <c r="G654" s="42">
        <f>SUBTOTAL(103,Tabella1[MODELLO])</f>
        <v>1</v>
      </c>
      <c r="H654" s="42">
        <f>SUBTOTAL(103,Tabella1[TG POL.])</f>
        <v>1</v>
      </c>
      <c r="I654" s="42">
        <f>SUBTOTAL(103,Tabella1[TG CIVILE])</f>
        <v>1</v>
      </c>
      <c r="J654" s="42"/>
      <c r="K654" s="42">
        <f>SUBTOTAL(103,Tabella1[[       Ricoveri      ]])</f>
        <v>1</v>
      </c>
      <c r="L654" s="42">
        <f>SUBTOTAL(103,Tabella1[IN CESSIONE TEMPORANEA DAL])</f>
        <v>0</v>
      </c>
      <c r="M654" s="42">
        <f>SUBTOTAL(103,Tabella1[COLORE])</f>
        <v>1</v>
      </c>
      <c r="N654" s="42">
        <f>SUBTOTAL(103,Tabella1[[       Tetra]])</f>
        <v>1</v>
      </c>
      <c r="O654" s="42">
        <f>SUBTOTAL(103,Tabella1[[       Telepass]])</f>
        <v>1</v>
      </c>
      <c r="P654" s="42"/>
      <c r="Q654" s="42">
        <f>SUBTOTAL(103,Tabella1[       Pn.Termici])</f>
        <v>1</v>
      </c>
      <c r="R654" s="42">
        <f>SUBTOTAL(103,Tabella1[Tipologia di Mezzo])</f>
        <v>1</v>
      </c>
      <c r="S654" s="42">
        <f>SUBTOTAL(103,Tabella1[       Fuel Card 
       (non toccare)])</f>
        <v>1</v>
      </c>
      <c r="T654" s="42">
        <f>SUBTOTAL(103,Tabella1[       O. P.])</f>
        <v>0</v>
      </c>
      <c r="U654" s="42">
        <f>SUBTOTAL(103,Tabella1[       Disattiv. Tetra])</f>
        <v>0</v>
      </c>
      <c r="V654" s="42">
        <f>SUBTOTAL(103,Tabella1[[            N°ISSI]])</f>
        <v>1</v>
      </c>
      <c r="W654" s="42" t="s">
        <v>663</v>
      </c>
      <c r="X654" s="42">
        <f>SUBTOTAL(103,Tabella1[AUTORIM. V.TIRRENO DAL])</f>
        <v>1</v>
      </c>
      <c r="Y654" s="42">
        <f>SUBTOTAL(103,Tabella1[AUTORIM. V.TIRRENO - MOTIVAZIONE])</f>
        <v>1</v>
      </c>
      <c r="Z654" s="42">
        <f>SUBTOTAL(103,Tabella1[DITTA ESTERNA DAL])</f>
        <v>0</v>
      </c>
      <c r="AA654" s="42">
        <f>SUBTOTAL(103,Tabella1[DITTA ESTERNA - NOME])</f>
        <v>0</v>
      </c>
      <c r="AB654" s="42">
        <f>SUBTOTAL(103,Tabella1[DITTA ESTERNA TIPOLOGIA])</f>
        <v>0</v>
      </c>
      <c r="AC654" s="42">
        <f>SUBTOTAL(103,Tabella1[ALTRI LUOGHI DAL])</f>
        <v>0</v>
      </c>
      <c r="AD654" s="42">
        <f>SUBTOTAL(103,Tabella1[ALTRI LUOGHI - POSIZIONE])</f>
        <v>0</v>
      </c>
      <c r="AE654" s="42">
        <f>SUBTOTAL(103,Tabella1[ALTRI LUOGHI - MOTIVAZIONE])</f>
        <v>0</v>
      </c>
      <c r="AF654" s="42">
        <f>SUBTOTAL(103,Tabella1[F I N E   RICOVERO DAL])</f>
        <v>0</v>
      </c>
      <c r="AG654" s="42">
        <f>SUBTOTAL(103,Tabella1[NOTE])</f>
        <v>0</v>
      </c>
      <c r="AH654" s="42">
        <f>SUBTOTAL(103,Tabella1[PROPRIETÀ])</f>
        <v>1</v>
      </c>
      <c r="AI654" s="42">
        <f>SUBTOTAL(103,Tabella1[CODICE D''IMPIEGO])</f>
        <v>1</v>
      </c>
      <c r="AJ654" s="252">
        <f>SUBTOTAL(103,Tabella1[Alimentazione])</f>
        <v>1</v>
      </c>
      <c r="AK654" s="252"/>
      <c r="AL654" s="252"/>
      <c r="AM654" s="42">
        <f>SUBTOTAL(103,Tabella1[Cod.Mod.])</f>
        <v>1</v>
      </c>
      <c r="AN654" s="42">
        <f>SUBTOTAL(103,Tabella1[Conto])</f>
        <v>1</v>
      </c>
      <c r="AO654" s="42">
        <f>SUBTOTAL(103,Tabella1[Serb.])</f>
        <v>1</v>
      </c>
      <c r="AP654" s="42">
        <f>SUBTOTAL(103,Tabella1[Ente])</f>
        <v>1</v>
      </c>
      <c r="AQ654" s="42">
        <f>SUBTOTAL(103,Tabella1[Km       
 (non toccare)])</f>
        <v>1</v>
      </c>
      <c r="AR654" s="42"/>
      <c r="AS654" s="42">
        <f>SUBTOTAL(103,Tabella1[GARANZIA     TEMPO / KM])</f>
        <v>1</v>
      </c>
      <c r="AT654" s="42"/>
      <c r="AU654" s="42">
        <f>SUBTOTAL(103,Tabella1[NUMERO VERDE])</f>
        <v>1</v>
      </c>
      <c r="AV654" s="42">
        <f>SUBTOTAL(103,Tabella1[MODELLO PNEUMATICI])</f>
        <v>1</v>
      </c>
      <c r="AW654" s="42">
        <f>SUBTOTAL(103,Tabella1[TERMICHE])</f>
        <v>1</v>
      </c>
      <c r="AX654" s="42">
        <f>SUBTOTAL(103,Tabella1[N° TELAIO])</f>
        <v>1</v>
      </c>
      <c r="AY654" s="42">
        <f>SUBTOTAL(103,Tabella1[DATA REVISIONE])</f>
        <v>1</v>
      </c>
      <c r="AZ654" s="42">
        <f>SUBTOTAL(103,Tabella1[CARTA CIRC.NE POLIZIA])</f>
        <v>1</v>
      </c>
    </row>
    <row r="658" spans="17:25" x14ac:dyDescent="0.25">
      <c r="Q658" s="174"/>
    </row>
    <row r="659" spans="17:25" x14ac:dyDescent="0.25">
      <c r="Y659" s="2"/>
    </row>
    <row r="660" spans="17:25" x14ac:dyDescent="0.25">
      <c r="Y660" s="2"/>
    </row>
    <row r="661" spans="17:25" x14ac:dyDescent="0.25">
      <c r="Y661" s="2"/>
    </row>
    <row r="662" spans="17:25" x14ac:dyDescent="0.25">
      <c r="Y662" s="2"/>
    </row>
    <row r="663" spans="17:25" x14ac:dyDescent="0.25">
      <c r="Y663" s="2"/>
    </row>
    <row r="664" spans="17:25" x14ac:dyDescent="0.25">
      <c r="Y664" s="2"/>
    </row>
    <row r="665" spans="17:25" x14ac:dyDescent="0.25">
      <c r="Y665" s="2"/>
    </row>
    <row r="666" spans="17:25" x14ac:dyDescent="0.25">
      <c r="Y666" s="2"/>
    </row>
    <row r="667" spans="17:25" x14ac:dyDescent="0.25">
      <c r="Y667" s="2"/>
    </row>
    <row r="668" spans="17:25" x14ac:dyDescent="0.25">
      <c r="Y668" s="2"/>
    </row>
    <row r="669" spans="17:25" x14ac:dyDescent="0.25">
      <c r="Y669" s="2"/>
    </row>
    <row r="670" spans="17:25" x14ac:dyDescent="0.25">
      <c r="Y670" s="2"/>
    </row>
    <row r="671" spans="17:25" x14ac:dyDescent="0.25">
      <c r="Y671" s="2"/>
    </row>
    <row r="672" spans="17:25" x14ac:dyDescent="0.25">
      <c r="Y672" s="2"/>
    </row>
    <row r="673" spans="25:25" x14ac:dyDescent="0.25">
      <c r="Y673" s="2"/>
    </row>
    <row r="674" spans="25:25" x14ac:dyDescent="0.25">
      <c r="Y674" s="2"/>
    </row>
  </sheetData>
  <sheetProtection formatCells="0" formatRows="0" insertColumns="0" insertRows="0" insertHyperlinks="0" deleteColumns="0" deleteRows="0" sort="0" autoFilter="0" pivotTables="0"/>
  <phoneticPr fontId="40" type="noConversion"/>
  <conditionalFormatting sqref="U2:U653">
    <cfRule type="cellIs" dxfId="111" priority="7" operator="equal">
      <formula>"NO"</formula>
    </cfRule>
    <cfRule type="cellIs" dxfId="110" priority="8" operator="equal">
      <formula>"SI"</formula>
    </cfRule>
  </conditionalFormatting>
  <conditionalFormatting sqref="V2:W21 V99 V23:W98 V22 V100:W593 V595:W653 V594">
    <cfRule type="cellIs" dxfId="109" priority="5" operator="equal">
      <formula>"NO"</formula>
    </cfRule>
    <cfRule type="cellIs" dxfId="108" priority="6" operator="equal">
      <formula>"SI"</formula>
    </cfRule>
  </conditionalFormatting>
  <conditionalFormatting sqref="W99">
    <cfRule type="cellIs" dxfId="107" priority="3" operator="equal">
      <formula>"NO"</formula>
    </cfRule>
    <cfRule type="cellIs" dxfId="106" priority="4" operator="equal">
      <formula>"SI"</formula>
    </cfRule>
  </conditionalFormatting>
  <conditionalFormatting sqref="W22">
    <cfRule type="cellIs" dxfId="105" priority="1" operator="equal">
      <formula>"NO"</formula>
    </cfRule>
    <cfRule type="cellIs" dxfId="104" priority="2" operator="equal">
      <formula>"SI"</formula>
    </cfRule>
  </conditionalFormatting>
  <dataValidations count="1">
    <dataValidation type="list" allowBlank="1" showInputMessage="1" showErrorMessage="1" sqref="U2:U653">
      <formula1>"SI,NO"</formula1>
    </dataValidation>
  </dataValidations>
  <hyperlinks>
    <hyperlink ref="AZ2" r:id="rId1"/>
  </hyperlinks>
  <pageMargins left="0.7" right="0.7" top="0.75" bottom="0.75" header="0.3" footer="0.3"/>
  <pageSetup paperSize="9" orientation="landscape" r:id="rId2"/>
  <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'Elenchi a discesa'!$R$5:$R$8</xm:f>
          </x14:formula1>
          <xm:sqref>AB2:AB653</xm:sqref>
        </x14:dataValidation>
        <x14:dataValidation type="list" allowBlank="1" showInputMessage="1" showErrorMessage="1">
          <x14:formula1>
            <xm:f>'Elenchi a discesa'!$D$5:$D$82</xm:f>
          </x14:formula1>
          <xm:sqref>AI2:AI653</xm:sqref>
        </x14:dataValidation>
        <x14:dataValidation type="list" allowBlank="1" showInputMessage="1" showErrorMessage="1">
          <x14:formula1>
            <xm:f>'Elenchi a discesa'!$F$5:$F$17</xm:f>
          </x14:formula1>
          <xm:sqref>AH2:AH653</xm:sqref>
        </x14:dataValidation>
        <x14:dataValidation type="list" allowBlank="1" showInputMessage="1" showErrorMessage="1">
          <x14:formula1>
            <xm:f>'Elenchi a discesa'!$L$5:$L$48</xm:f>
          </x14:formula1>
          <xm:sqref>F2:F653</xm:sqref>
        </x14:dataValidation>
        <x14:dataValidation type="list" allowBlank="1" showInputMessage="1" showErrorMessage="1">
          <x14:formula1>
            <xm:f>'Elenchi a discesa'!$H$5:$H$51</xm:f>
          </x14:formula1>
          <xm:sqref>C2:C653</xm:sqref>
        </x14:dataValidation>
        <x14:dataValidation type="list" allowBlank="1" showInputMessage="1" showErrorMessage="1">
          <x14:formula1>
            <xm:f>'Elenchi a discesa'!$N$5:$N$179</xm:f>
          </x14:formula1>
          <xm:sqref>G2:G653</xm:sqref>
        </x14:dataValidation>
        <x14:dataValidation type="list" allowBlank="1" showInputMessage="1" showErrorMessage="1">
          <x14:formula1>
            <xm:f>'Elenchi a discesa'!$J$5:$J$46</xm:f>
          </x14:formula1>
          <xm:sqref>D2:D330 D332:D653</xm:sqref>
        </x14:dataValidation>
        <x14:dataValidation type="list" allowBlank="1" showInputMessage="1" showErrorMessage="1">
          <x14:formula1>
            <xm:f>'Elenchi a discesa'!$B$5:$B$98</xm:f>
          </x14:formula1>
          <xm:sqref>D331:E331 E2:E330 E332:E653</xm:sqref>
        </x14:dataValidation>
        <x14:dataValidation type="list" allowBlank="1" showInputMessage="1" showErrorMessage="1">
          <x14:formula1>
            <xm:f>'Elenchi a discesa'!$P$5:$P$652</xm:f>
          </x14:formula1>
          <xm:sqref>AA2:AA653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639"/>
  <sheetViews>
    <sheetView topLeftCell="J64" zoomScale="90" zoomScaleNormal="90" workbookViewId="0">
      <selection activeCell="J102" sqref="J102"/>
    </sheetView>
  </sheetViews>
  <sheetFormatPr defaultRowHeight="15" x14ac:dyDescent="0.25"/>
  <cols>
    <col min="1" max="1" width="10.7109375" style="2" customWidth="1"/>
    <col min="2" max="2" width="51" style="3" bestFit="1" customWidth="1"/>
    <col min="3" max="3" width="10.7109375" style="2" customWidth="1"/>
    <col min="4" max="4" width="47" style="1" bestFit="1" customWidth="1"/>
    <col min="5" max="5" width="10.7109375" style="2" customWidth="1"/>
    <col min="6" max="6" width="50.7109375" style="2" customWidth="1"/>
    <col min="7" max="7" width="9.140625" style="2"/>
    <col min="8" max="8" width="56.28515625" style="2" bestFit="1" customWidth="1"/>
    <col min="9" max="9" width="9.140625" style="2"/>
    <col min="10" max="10" width="57.85546875" style="2" bestFit="1" customWidth="1"/>
    <col min="11" max="11" width="9.140625" style="2"/>
    <col min="12" max="12" width="28.85546875" style="2" bestFit="1" customWidth="1"/>
    <col min="13" max="13" width="10.7109375" style="2" customWidth="1"/>
    <col min="14" max="14" width="27.5703125" style="2" bestFit="1" customWidth="1"/>
    <col min="15" max="15" width="10.7109375" style="2" customWidth="1"/>
    <col min="16" max="16" width="44" style="2" customWidth="1"/>
    <col min="17" max="17" width="9.140625" style="2"/>
    <col min="18" max="18" width="24.85546875" style="2" bestFit="1" customWidth="1"/>
    <col min="19" max="19" width="9.140625" style="2"/>
    <col min="20" max="20" width="57.140625" style="2" bestFit="1" customWidth="1"/>
    <col min="21" max="21" width="9.140625" style="2"/>
    <col min="22" max="22" width="31.140625" style="2" bestFit="1" customWidth="1"/>
    <col min="23" max="23" width="9.140625" style="2"/>
    <col min="24" max="24" width="3.7109375" style="2" customWidth="1"/>
    <col min="25" max="25" width="56.28515625" style="2" bestFit="1" customWidth="1"/>
    <col min="26" max="26" width="57.85546875" style="2" bestFit="1" customWidth="1"/>
    <col min="27" max="16384" width="9.140625" style="2"/>
  </cols>
  <sheetData>
    <row r="1" spans="2:26" ht="24.75" customHeight="1" x14ac:dyDescent="0.25">
      <c r="B1" s="253" t="s">
        <v>436</v>
      </c>
      <c r="C1" s="253"/>
      <c r="D1" s="253"/>
      <c r="E1" s="253"/>
      <c r="F1" s="253"/>
      <c r="G1" s="253"/>
      <c r="H1" s="253"/>
    </row>
    <row r="2" spans="2:26" x14ac:dyDescent="0.25">
      <c r="B2" s="31"/>
      <c r="D2" s="3"/>
      <c r="F2" s="1"/>
    </row>
    <row r="3" spans="2:26" s="5" customFormat="1" ht="33.75" customHeight="1" x14ac:dyDescent="0.25">
      <c r="B3" s="31"/>
      <c r="D3" s="3"/>
      <c r="F3" s="4" t="s">
        <v>437</v>
      </c>
      <c r="H3" s="2"/>
      <c r="L3" s="2"/>
      <c r="N3" s="2"/>
      <c r="P3" s="4" t="s">
        <v>438</v>
      </c>
      <c r="Q3" s="6"/>
      <c r="R3" s="6"/>
      <c r="T3" s="4" t="s">
        <v>439</v>
      </c>
      <c r="V3" s="4" t="s">
        <v>440</v>
      </c>
    </row>
    <row r="4" spans="2:26" s="7" customFormat="1" ht="26.25" customHeight="1" thickBot="1" x14ac:dyDescent="0.3">
      <c r="B4" s="64" t="s">
        <v>23</v>
      </c>
      <c r="D4" s="63" t="s">
        <v>443</v>
      </c>
      <c r="F4" s="65" t="s">
        <v>441</v>
      </c>
      <c r="H4" s="62" t="s">
        <v>442</v>
      </c>
      <c r="J4" s="62" t="s">
        <v>5</v>
      </c>
      <c r="L4" s="62" t="s">
        <v>6</v>
      </c>
      <c r="N4" s="62" t="s">
        <v>7</v>
      </c>
      <c r="P4" s="62" t="s">
        <v>583</v>
      </c>
      <c r="Q4" s="8"/>
      <c r="R4" s="87" t="s">
        <v>578</v>
      </c>
      <c r="T4" s="8" t="s">
        <v>582</v>
      </c>
      <c r="V4" s="8" t="s">
        <v>590</v>
      </c>
      <c r="X4" s="90" t="s">
        <v>0</v>
      </c>
      <c r="Y4" s="91" t="s">
        <v>442</v>
      </c>
      <c r="Z4" s="90" t="s">
        <v>5</v>
      </c>
    </row>
    <row r="5" spans="2:26" x14ac:dyDescent="0.25">
      <c r="B5" s="14" t="s">
        <v>591</v>
      </c>
      <c r="D5" s="11" t="s">
        <v>444</v>
      </c>
      <c r="F5" s="9" t="s">
        <v>25</v>
      </c>
      <c r="H5" s="10" t="s">
        <v>248</v>
      </c>
      <c r="J5" s="10" t="s">
        <v>32</v>
      </c>
      <c r="L5" s="10" t="s">
        <v>50</v>
      </c>
      <c r="N5" s="9">
        <v>159</v>
      </c>
      <c r="P5" s="11" t="s">
        <v>681</v>
      </c>
      <c r="Q5" s="12"/>
      <c r="R5" s="13" t="s">
        <v>446</v>
      </c>
      <c r="T5" s="2" t="s">
        <v>447</v>
      </c>
      <c r="V5" s="2" t="s">
        <v>254</v>
      </c>
      <c r="X5" s="92">
        <v>1</v>
      </c>
      <c r="Y5" s="93" t="s">
        <v>31</v>
      </c>
      <c r="Z5" s="94" t="s">
        <v>32</v>
      </c>
    </row>
    <row r="6" spans="2:26" x14ac:dyDescent="0.25">
      <c r="B6" s="20" t="s">
        <v>592</v>
      </c>
      <c r="D6" s="18" t="s">
        <v>123</v>
      </c>
      <c r="F6" s="15" t="s">
        <v>448</v>
      </c>
      <c r="H6" s="16" t="s">
        <v>83</v>
      </c>
      <c r="J6" s="16" t="s">
        <v>160</v>
      </c>
      <c r="L6" s="16" t="s">
        <v>179</v>
      </c>
      <c r="N6" s="17">
        <v>5008</v>
      </c>
      <c r="P6" s="11" t="s">
        <v>645</v>
      </c>
      <c r="Q6" s="12"/>
      <c r="R6" s="19" t="s">
        <v>450</v>
      </c>
      <c r="T6" s="2" t="s">
        <v>451</v>
      </c>
      <c r="V6" s="2" t="s">
        <v>452</v>
      </c>
      <c r="X6" s="92">
        <v>1</v>
      </c>
      <c r="Y6" s="95" t="s">
        <v>31</v>
      </c>
      <c r="Z6" s="96"/>
    </row>
    <row r="7" spans="2:26" x14ac:dyDescent="0.25">
      <c r="B7" s="20" t="s">
        <v>235</v>
      </c>
      <c r="D7" s="18" t="s">
        <v>454</v>
      </c>
      <c r="F7" s="15" t="s">
        <v>453</v>
      </c>
      <c r="H7" s="16" t="s">
        <v>390</v>
      </c>
      <c r="J7" s="16" t="s">
        <v>86</v>
      </c>
      <c r="L7" s="16" t="s">
        <v>129</v>
      </c>
      <c r="N7" s="17" t="s">
        <v>588</v>
      </c>
      <c r="P7" s="11" t="s">
        <v>697</v>
      </c>
      <c r="Q7" s="12"/>
      <c r="R7" s="19" t="s">
        <v>455</v>
      </c>
      <c r="T7" s="2" t="s">
        <v>456</v>
      </c>
      <c r="V7" s="2" t="s">
        <v>457</v>
      </c>
      <c r="X7" s="92">
        <v>2</v>
      </c>
      <c r="Y7" s="93" t="s">
        <v>31</v>
      </c>
      <c r="Z7" s="94" t="s">
        <v>62</v>
      </c>
    </row>
    <row r="8" spans="2:26" x14ac:dyDescent="0.25">
      <c r="B8" s="20" t="s">
        <v>334</v>
      </c>
      <c r="D8" s="18" t="s">
        <v>459</v>
      </c>
      <c r="F8" s="15" t="s">
        <v>458</v>
      </c>
      <c r="H8" s="16" t="s">
        <v>325</v>
      </c>
      <c r="J8" s="16" t="s">
        <v>169</v>
      </c>
      <c r="L8" s="16" t="s">
        <v>81</v>
      </c>
      <c r="N8" s="17" t="s">
        <v>230</v>
      </c>
      <c r="P8" s="11" t="s">
        <v>445</v>
      </c>
      <c r="Q8" s="12"/>
      <c r="R8" s="21" t="s">
        <v>460</v>
      </c>
      <c r="T8" s="2" t="s">
        <v>461</v>
      </c>
      <c r="V8" s="2" t="s">
        <v>462</v>
      </c>
      <c r="X8" s="92">
        <v>3</v>
      </c>
      <c r="Y8" s="95" t="s">
        <v>73</v>
      </c>
      <c r="Z8" s="96" t="s">
        <v>74</v>
      </c>
    </row>
    <row r="9" spans="2:26" x14ac:dyDescent="0.25">
      <c r="B9" s="20" t="s">
        <v>362</v>
      </c>
      <c r="D9" s="18" t="s">
        <v>131</v>
      </c>
      <c r="F9" s="15" t="s">
        <v>463</v>
      </c>
      <c r="H9" s="16" t="s">
        <v>361</v>
      </c>
      <c r="J9" s="16" t="s">
        <v>62</v>
      </c>
      <c r="L9" s="16" t="s">
        <v>371</v>
      </c>
      <c r="N9" s="17" t="s">
        <v>282</v>
      </c>
      <c r="P9" s="18" t="s">
        <v>449</v>
      </c>
      <c r="Q9" s="12"/>
      <c r="R9" s="8"/>
      <c r="T9" s="2" t="s">
        <v>464</v>
      </c>
      <c r="V9" s="2" t="s">
        <v>465</v>
      </c>
      <c r="X9" s="92">
        <v>4</v>
      </c>
      <c r="Y9" s="93" t="s">
        <v>73</v>
      </c>
      <c r="Z9" s="94" t="s">
        <v>160</v>
      </c>
    </row>
    <row r="10" spans="2:26" x14ac:dyDescent="0.25">
      <c r="B10" s="20" t="s">
        <v>358</v>
      </c>
      <c r="D10" s="18" t="s">
        <v>26</v>
      </c>
      <c r="F10" s="15" t="s">
        <v>641</v>
      </c>
      <c r="H10" s="16" t="s">
        <v>357</v>
      </c>
      <c r="J10" s="16" t="s">
        <v>89</v>
      </c>
      <c r="L10" s="16" t="s">
        <v>57</v>
      </c>
      <c r="N10" s="17" t="s">
        <v>127</v>
      </c>
      <c r="P10" s="18" t="s">
        <v>614</v>
      </c>
      <c r="Q10" s="23"/>
      <c r="T10" s="2" t="s">
        <v>467</v>
      </c>
      <c r="V10" s="2" t="s">
        <v>468</v>
      </c>
      <c r="X10" s="92">
        <v>4</v>
      </c>
      <c r="Y10" s="95" t="s">
        <v>73</v>
      </c>
      <c r="Z10" s="96" t="s">
        <v>169</v>
      </c>
    </row>
    <row r="11" spans="2:26" x14ac:dyDescent="0.25">
      <c r="B11" s="20" t="s">
        <v>326</v>
      </c>
      <c r="D11" s="18" t="s">
        <v>111</v>
      </c>
      <c r="F11" s="17" t="s">
        <v>404</v>
      </c>
      <c r="H11" s="16" t="s">
        <v>378</v>
      </c>
      <c r="J11" s="16" t="s">
        <v>125</v>
      </c>
      <c r="L11" s="16" t="s">
        <v>288</v>
      </c>
      <c r="N11" s="17" t="s">
        <v>387</v>
      </c>
      <c r="P11" s="18" t="s">
        <v>626</v>
      </c>
      <c r="Q11" s="12"/>
      <c r="T11" s="2" t="s">
        <v>470</v>
      </c>
      <c r="V11" s="2" t="s">
        <v>471</v>
      </c>
      <c r="X11" s="92">
        <v>4</v>
      </c>
      <c r="Y11" s="93" t="s">
        <v>73</v>
      </c>
      <c r="Z11" s="94" t="s">
        <v>62</v>
      </c>
    </row>
    <row r="12" spans="2:26" x14ac:dyDescent="0.25">
      <c r="B12" s="20" t="s">
        <v>379</v>
      </c>
      <c r="D12" s="18" t="s">
        <v>310</v>
      </c>
      <c r="F12" s="17" t="s">
        <v>469</v>
      </c>
      <c r="H12" s="16" t="s">
        <v>347</v>
      </c>
      <c r="J12" s="16" t="s">
        <v>132</v>
      </c>
      <c r="L12" s="16" t="s">
        <v>275</v>
      </c>
      <c r="N12" s="17" t="s">
        <v>258</v>
      </c>
      <c r="P12" s="22" t="s">
        <v>466</v>
      </c>
      <c r="Q12" s="24"/>
      <c r="T12" s="2" t="s">
        <v>473</v>
      </c>
      <c r="V12" s="2" t="s">
        <v>473</v>
      </c>
      <c r="X12" s="92">
        <v>4</v>
      </c>
      <c r="Y12" s="95" t="s">
        <v>73</v>
      </c>
      <c r="Z12" s="96" t="s">
        <v>177</v>
      </c>
    </row>
    <row r="13" spans="2:26" x14ac:dyDescent="0.25">
      <c r="B13" s="20" t="s">
        <v>348</v>
      </c>
      <c r="D13" s="18" t="s">
        <v>335</v>
      </c>
      <c r="F13" s="15" t="s">
        <v>472</v>
      </c>
      <c r="H13" s="16" t="s">
        <v>349</v>
      </c>
      <c r="J13" s="16" t="s">
        <v>177</v>
      </c>
      <c r="L13" s="16" t="s">
        <v>63</v>
      </c>
      <c r="N13" s="17" t="s">
        <v>91</v>
      </c>
      <c r="P13" s="18" t="s">
        <v>611</v>
      </c>
      <c r="Q13" s="12"/>
      <c r="T13" s="2" t="s">
        <v>475</v>
      </c>
      <c r="V13" s="2" t="s">
        <v>475</v>
      </c>
      <c r="X13" s="92">
        <v>4</v>
      </c>
      <c r="Y13" s="93" t="s">
        <v>73</v>
      </c>
      <c r="Z13" s="94" t="s">
        <v>182</v>
      </c>
    </row>
    <row r="14" spans="2:26" x14ac:dyDescent="0.25">
      <c r="B14" s="20" t="s">
        <v>350</v>
      </c>
      <c r="D14" s="18" t="s">
        <v>96</v>
      </c>
      <c r="F14" s="15" t="s">
        <v>71</v>
      </c>
      <c r="H14" s="16" t="s">
        <v>300</v>
      </c>
      <c r="J14" s="16" t="s">
        <v>93</v>
      </c>
      <c r="L14" s="16" t="s">
        <v>53</v>
      </c>
      <c r="N14" s="17" t="s">
        <v>660</v>
      </c>
      <c r="P14" s="18" t="s">
        <v>599</v>
      </c>
      <c r="Q14" s="24"/>
      <c r="T14" s="2" t="s">
        <v>476</v>
      </c>
      <c r="V14" s="2" t="s">
        <v>477</v>
      </c>
      <c r="X14" s="92">
        <v>4</v>
      </c>
      <c r="Y14" s="95" t="s">
        <v>73</v>
      </c>
      <c r="Z14" s="96" t="s">
        <v>195</v>
      </c>
    </row>
    <row r="15" spans="2:26" x14ac:dyDescent="0.25">
      <c r="B15" s="20" t="s">
        <v>301</v>
      </c>
      <c r="D15" s="18" t="s">
        <v>478</v>
      </c>
      <c r="F15" s="15" t="s">
        <v>100</v>
      </c>
      <c r="H15" s="16" t="s">
        <v>355</v>
      </c>
      <c r="J15" s="16" t="s">
        <v>182</v>
      </c>
      <c r="L15" s="16" t="s">
        <v>186</v>
      </c>
      <c r="N15" s="17" t="s">
        <v>227</v>
      </c>
      <c r="P15" s="18" t="s">
        <v>647</v>
      </c>
      <c r="Q15" s="12"/>
      <c r="T15" s="2" t="s">
        <v>480</v>
      </c>
      <c r="V15" s="2" t="s">
        <v>481</v>
      </c>
      <c r="X15" s="92">
        <v>5</v>
      </c>
      <c r="Y15" s="93" t="s">
        <v>264</v>
      </c>
      <c r="Z15" s="94"/>
    </row>
    <row r="16" spans="2:26" x14ac:dyDescent="0.25">
      <c r="B16" s="20" t="s">
        <v>356</v>
      </c>
      <c r="D16" s="18" t="s">
        <v>483</v>
      </c>
      <c r="F16" s="15" t="s">
        <v>84</v>
      </c>
      <c r="H16" s="16" t="s">
        <v>368</v>
      </c>
      <c r="J16" s="16" t="s">
        <v>97</v>
      </c>
      <c r="L16" s="16" t="s">
        <v>109</v>
      </c>
      <c r="N16" s="17" t="s">
        <v>175</v>
      </c>
      <c r="P16" s="18" t="s">
        <v>601</v>
      </c>
      <c r="Q16" s="23"/>
      <c r="T16" s="2" t="s">
        <v>484</v>
      </c>
      <c r="V16" s="2" t="s">
        <v>485</v>
      </c>
      <c r="X16" s="92">
        <v>6</v>
      </c>
      <c r="Y16" s="95" t="s">
        <v>331</v>
      </c>
      <c r="Z16" s="96" t="s">
        <v>332</v>
      </c>
    </row>
    <row r="17" spans="2:26" x14ac:dyDescent="0.25">
      <c r="B17" s="20" t="s">
        <v>369</v>
      </c>
      <c r="D17" s="18" t="s">
        <v>60</v>
      </c>
      <c r="F17" s="25" t="s">
        <v>482</v>
      </c>
      <c r="H17" s="16" t="s">
        <v>297</v>
      </c>
      <c r="J17" s="16" t="s">
        <v>195</v>
      </c>
      <c r="L17" s="16" t="s">
        <v>416</v>
      </c>
      <c r="N17" s="17" t="s">
        <v>411</v>
      </c>
      <c r="P17" s="18" t="s">
        <v>661</v>
      </c>
      <c r="Q17" s="23"/>
      <c r="R17" s="26" t="s">
        <v>486</v>
      </c>
      <c r="T17" s="2" t="s">
        <v>487</v>
      </c>
      <c r="V17" s="2" t="s">
        <v>488</v>
      </c>
      <c r="X17" s="92">
        <v>7</v>
      </c>
      <c r="Y17" s="93" t="s">
        <v>331</v>
      </c>
      <c r="Z17" s="94" t="s">
        <v>373</v>
      </c>
    </row>
    <row r="18" spans="2:26" x14ac:dyDescent="0.25">
      <c r="B18" s="20" t="s">
        <v>298</v>
      </c>
      <c r="D18" s="18" t="s">
        <v>489</v>
      </c>
      <c r="F18" s="1"/>
      <c r="H18" s="16" t="s">
        <v>359</v>
      </c>
      <c r="J18" s="16" t="s">
        <v>101</v>
      </c>
      <c r="L18" s="16" t="s">
        <v>106</v>
      </c>
      <c r="N18" s="17" t="s">
        <v>194</v>
      </c>
      <c r="P18" s="18" t="s">
        <v>694</v>
      </c>
      <c r="Q18" s="12"/>
      <c r="R18" s="26" t="s">
        <v>253</v>
      </c>
      <c r="T18" s="2" t="s">
        <v>490</v>
      </c>
      <c r="V18" s="2" t="s">
        <v>491</v>
      </c>
      <c r="X18" s="92">
        <v>8</v>
      </c>
      <c r="Y18" s="95" t="s">
        <v>331</v>
      </c>
      <c r="Z18" s="96" t="s">
        <v>424</v>
      </c>
    </row>
    <row r="19" spans="2:26" x14ac:dyDescent="0.25">
      <c r="B19" s="20" t="s">
        <v>360</v>
      </c>
      <c r="D19" s="18" t="s">
        <v>382</v>
      </c>
      <c r="F19" s="1"/>
      <c r="H19" s="16" t="s">
        <v>364</v>
      </c>
      <c r="J19" s="16" t="s">
        <v>139</v>
      </c>
      <c r="L19" s="16" t="s">
        <v>338</v>
      </c>
      <c r="N19" s="17" t="s">
        <v>185</v>
      </c>
      <c r="P19" s="32" t="s">
        <v>252</v>
      </c>
      <c r="Q19" s="12"/>
      <c r="R19" s="26" t="s">
        <v>493</v>
      </c>
      <c r="T19" s="2" t="s">
        <v>494</v>
      </c>
      <c r="V19" s="2" t="s">
        <v>490</v>
      </c>
      <c r="X19" s="92">
        <v>8</v>
      </c>
      <c r="Y19" s="93" t="s">
        <v>331</v>
      </c>
      <c r="Z19" s="94" t="s">
        <v>426</v>
      </c>
    </row>
    <row r="20" spans="2:26" x14ac:dyDescent="0.25">
      <c r="B20" s="20" t="s">
        <v>365</v>
      </c>
      <c r="D20" s="18" t="s">
        <v>210</v>
      </c>
      <c r="F20" s="1"/>
      <c r="H20" s="16" t="s">
        <v>366</v>
      </c>
      <c r="J20" s="16" t="s">
        <v>141</v>
      </c>
      <c r="L20" s="16" t="s">
        <v>118</v>
      </c>
      <c r="N20" s="17" t="s">
        <v>274</v>
      </c>
      <c r="P20" s="18" t="s">
        <v>609</v>
      </c>
      <c r="Q20" s="12"/>
      <c r="R20" s="12" t="s">
        <v>495</v>
      </c>
      <c r="T20" s="2" t="s">
        <v>496</v>
      </c>
      <c r="V20" s="2" t="s">
        <v>497</v>
      </c>
      <c r="X20" s="92">
        <v>9</v>
      </c>
      <c r="Y20" s="95" t="s">
        <v>331</v>
      </c>
      <c r="Z20" s="96" t="s">
        <v>389</v>
      </c>
    </row>
    <row r="21" spans="2:26" x14ac:dyDescent="0.25">
      <c r="B21" s="20" t="s">
        <v>367</v>
      </c>
      <c r="D21" s="18" t="s">
        <v>498</v>
      </c>
      <c r="F21" s="1"/>
      <c r="H21" s="16" t="s">
        <v>341</v>
      </c>
      <c r="J21" s="16" t="s">
        <v>74</v>
      </c>
      <c r="L21" s="16" t="s">
        <v>48</v>
      </c>
      <c r="N21" s="17" t="s">
        <v>188</v>
      </c>
      <c r="P21" s="18" t="s">
        <v>474</v>
      </c>
      <c r="Q21" s="12"/>
      <c r="R21" s="26" t="s">
        <v>500</v>
      </c>
      <c r="V21" s="2" t="s">
        <v>501</v>
      </c>
      <c r="X21" s="92">
        <v>10</v>
      </c>
      <c r="Y21" s="93" t="s">
        <v>331</v>
      </c>
      <c r="Z21" s="94" t="s">
        <v>430</v>
      </c>
    </row>
    <row r="22" spans="2:26" x14ac:dyDescent="0.25">
      <c r="B22" s="20" t="s">
        <v>304</v>
      </c>
      <c r="D22" s="18" t="s">
        <v>502</v>
      </c>
      <c r="F22" s="1"/>
      <c r="H22" s="16" t="s">
        <v>246</v>
      </c>
      <c r="J22" s="16" t="s">
        <v>83</v>
      </c>
      <c r="L22" s="16" t="s">
        <v>414</v>
      </c>
      <c r="N22" s="17" t="s">
        <v>82</v>
      </c>
      <c r="P22" s="18" t="s">
        <v>613</v>
      </c>
      <c r="Q22" s="12"/>
      <c r="R22" s="12" t="s">
        <v>503</v>
      </c>
      <c r="V22" s="2" t="s">
        <v>504</v>
      </c>
      <c r="X22" s="92">
        <v>11</v>
      </c>
      <c r="Y22" s="95" t="s">
        <v>331</v>
      </c>
      <c r="Z22" s="96" t="s">
        <v>434</v>
      </c>
    </row>
    <row r="23" spans="2:26" x14ac:dyDescent="0.25">
      <c r="B23" s="20" t="s">
        <v>315</v>
      </c>
      <c r="D23" s="18" t="s">
        <v>505</v>
      </c>
      <c r="F23" s="1"/>
      <c r="H23" s="16" t="s">
        <v>31</v>
      </c>
      <c r="J23" s="16" t="s">
        <v>115</v>
      </c>
      <c r="L23" s="16" t="s">
        <v>223</v>
      </c>
      <c r="N23" s="17" t="s">
        <v>377</v>
      </c>
      <c r="P23" s="32" t="s">
        <v>255</v>
      </c>
      <c r="Q23" s="12"/>
      <c r="R23" s="12" t="s">
        <v>507</v>
      </c>
      <c r="X23" s="99">
        <v>11</v>
      </c>
      <c r="Y23" s="93" t="s">
        <v>331</v>
      </c>
      <c r="Z23" s="94"/>
    </row>
    <row r="24" spans="2:26" x14ac:dyDescent="0.25">
      <c r="B24" s="20" t="s">
        <v>318</v>
      </c>
      <c r="D24" s="18" t="s">
        <v>508</v>
      </c>
      <c r="F24" s="1"/>
      <c r="H24" s="16" t="s">
        <v>264</v>
      </c>
      <c r="J24" s="16" t="s">
        <v>390</v>
      </c>
      <c r="L24" s="16" t="s">
        <v>151</v>
      </c>
      <c r="N24" s="17" t="s">
        <v>376</v>
      </c>
      <c r="P24" s="18" t="s">
        <v>625</v>
      </c>
      <c r="Q24" s="12"/>
      <c r="R24" s="12" t="s">
        <v>510</v>
      </c>
      <c r="X24" s="92">
        <v>12</v>
      </c>
      <c r="Y24" s="95" t="s">
        <v>85</v>
      </c>
      <c r="Z24" s="96" t="s">
        <v>86</v>
      </c>
    </row>
    <row r="25" spans="2:26" x14ac:dyDescent="0.25">
      <c r="B25" s="20" t="s">
        <v>395</v>
      </c>
      <c r="D25" s="18" t="s">
        <v>511</v>
      </c>
      <c r="F25" s="1"/>
      <c r="H25" s="16" t="s">
        <v>219</v>
      </c>
      <c r="J25" s="16" t="s">
        <v>313</v>
      </c>
      <c r="L25" s="16" t="s">
        <v>336</v>
      </c>
      <c r="N25" s="17" t="s">
        <v>119</v>
      </c>
      <c r="P25" s="18" t="s">
        <v>649</v>
      </c>
      <c r="Q25" s="12"/>
      <c r="R25" s="12" t="s">
        <v>513</v>
      </c>
      <c r="X25" s="92">
        <v>12</v>
      </c>
      <c r="Y25" s="93" t="s">
        <v>85</v>
      </c>
      <c r="Z25" s="94" t="s">
        <v>89</v>
      </c>
    </row>
    <row r="26" spans="2:26" x14ac:dyDescent="0.25">
      <c r="B26" s="20" t="s">
        <v>628</v>
      </c>
      <c r="D26" s="18" t="s">
        <v>514</v>
      </c>
      <c r="F26" s="1"/>
      <c r="H26" s="16" t="s">
        <v>124</v>
      </c>
      <c r="J26" s="16" t="s">
        <v>316</v>
      </c>
      <c r="L26" s="16" t="s">
        <v>257</v>
      </c>
      <c r="N26" s="17" t="s">
        <v>130</v>
      </c>
      <c r="P26" s="18" t="s">
        <v>479</v>
      </c>
      <c r="Q26" s="12"/>
      <c r="R26" s="12" t="s">
        <v>516</v>
      </c>
      <c r="X26" s="92">
        <v>12</v>
      </c>
      <c r="Y26" s="95" t="s">
        <v>85</v>
      </c>
      <c r="Z26" s="96" t="s">
        <v>93</v>
      </c>
    </row>
    <row r="27" spans="2:26" x14ac:dyDescent="0.25">
      <c r="B27" s="20" t="s">
        <v>220</v>
      </c>
      <c r="D27" s="18" t="s">
        <v>517</v>
      </c>
      <c r="F27" s="1"/>
      <c r="H27" s="16" t="s">
        <v>238</v>
      </c>
      <c r="J27" s="16" t="s">
        <v>430</v>
      </c>
      <c r="L27" s="16" t="s">
        <v>268</v>
      </c>
      <c r="N27" s="17" t="s">
        <v>171</v>
      </c>
      <c r="P27" s="146" t="s">
        <v>638</v>
      </c>
      <c r="Q27" s="12"/>
      <c r="R27" s="12"/>
      <c r="X27" s="92">
        <v>12</v>
      </c>
      <c r="Y27" s="93" t="s">
        <v>85</v>
      </c>
      <c r="Z27" s="94" t="s">
        <v>101</v>
      </c>
    </row>
    <row r="28" spans="2:26" x14ac:dyDescent="0.25">
      <c r="B28" s="20" t="s">
        <v>423</v>
      </c>
      <c r="D28" s="18" t="s">
        <v>104</v>
      </c>
      <c r="F28" s="1"/>
      <c r="H28" s="16" t="s">
        <v>234</v>
      </c>
      <c r="J28" s="16" t="s">
        <v>134</v>
      </c>
      <c r="L28" s="16" t="s">
        <v>78</v>
      </c>
      <c r="N28" s="17" t="s">
        <v>351</v>
      </c>
      <c r="P28" s="19" t="s">
        <v>674</v>
      </c>
      <c r="Q28" s="12"/>
      <c r="R28" s="12"/>
      <c r="X28" s="92">
        <v>12</v>
      </c>
      <c r="Y28" s="95" t="s">
        <v>85</v>
      </c>
      <c r="Z28" s="96" t="s">
        <v>105</v>
      </c>
    </row>
    <row r="29" spans="2:26" x14ac:dyDescent="0.25">
      <c r="B29" s="20" t="s">
        <v>45</v>
      </c>
      <c r="D29" s="18" t="s">
        <v>520</v>
      </c>
      <c r="F29" s="1"/>
      <c r="H29" s="16" t="s">
        <v>472</v>
      </c>
      <c r="J29" s="16" t="s">
        <v>373</v>
      </c>
      <c r="L29" s="16" t="s">
        <v>327</v>
      </c>
      <c r="N29" s="17" t="s">
        <v>181</v>
      </c>
      <c r="P29" s="95" t="s">
        <v>602</v>
      </c>
      <c r="Q29" s="12"/>
      <c r="R29" s="12"/>
      <c r="X29" s="92">
        <v>13</v>
      </c>
      <c r="Y29" s="93" t="s">
        <v>85</v>
      </c>
      <c r="Z29" s="94" t="s">
        <v>105</v>
      </c>
    </row>
    <row r="30" spans="2:26" x14ac:dyDescent="0.25">
      <c r="B30" s="20" t="s">
        <v>65</v>
      </c>
      <c r="D30" s="18" t="s">
        <v>522</v>
      </c>
      <c r="F30" s="1"/>
      <c r="H30" s="16" t="s">
        <v>208</v>
      </c>
      <c r="J30" s="16" t="s">
        <v>332</v>
      </c>
      <c r="L30" s="16" t="s">
        <v>393</v>
      </c>
      <c r="N30" s="17" t="s">
        <v>154</v>
      </c>
      <c r="P30" s="18" t="s">
        <v>492</v>
      </c>
      <c r="Q30" s="12"/>
      <c r="R30" s="12"/>
      <c r="X30" s="92">
        <v>14</v>
      </c>
      <c r="Y30" s="95" t="s">
        <v>85</v>
      </c>
      <c r="Z30" s="96" t="s">
        <v>115</v>
      </c>
    </row>
    <row r="31" spans="2:26" x14ac:dyDescent="0.25">
      <c r="B31" s="20" t="s">
        <v>406</v>
      </c>
      <c r="D31" s="18" t="s">
        <v>524</v>
      </c>
      <c r="F31" s="1"/>
      <c r="H31" s="16" t="s">
        <v>422</v>
      </c>
      <c r="J31" s="16" t="s">
        <v>426</v>
      </c>
      <c r="L31" s="16" t="s">
        <v>329</v>
      </c>
      <c r="N31" s="17" t="s">
        <v>636</v>
      </c>
      <c r="P31" s="18" t="s">
        <v>623</v>
      </c>
      <c r="Q31" s="12"/>
      <c r="R31" s="12"/>
      <c r="X31" s="92">
        <v>15</v>
      </c>
      <c r="Y31" s="93" t="s">
        <v>124</v>
      </c>
      <c r="Z31" s="94" t="s">
        <v>125</v>
      </c>
    </row>
    <row r="32" spans="2:26" x14ac:dyDescent="0.25">
      <c r="B32" s="20" t="s">
        <v>342</v>
      </c>
      <c r="D32" s="18" t="s">
        <v>526</v>
      </c>
      <c r="F32" s="1"/>
      <c r="H32" s="16" t="s">
        <v>231</v>
      </c>
      <c r="J32" s="16" t="s">
        <v>389</v>
      </c>
      <c r="L32" s="16" t="s">
        <v>212</v>
      </c>
      <c r="N32" s="17" t="s">
        <v>330</v>
      </c>
      <c r="P32" s="18" t="s">
        <v>499</v>
      </c>
      <c r="Q32" s="12"/>
      <c r="R32" s="12"/>
      <c r="X32" s="92">
        <v>16</v>
      </c>
      <c r="Y32" s="95" t="s">
        <v>124</v>
      </c>
      <c r="Z32" s="96" t="s">
        <v>132</v>
      </c>
    </row>
    <row r="33" spans="2:26" x14ac:dyDescent="0.25">
      <c r="B33" s="20" t="s">
        <v>323</v>
      </c>
      <c r="D33" s="18" t="s">
        <v>528</v>
      </c>
      <c r="F33" s="1"/>
      <c r="H33" s="16" t="s">
        <v>391</v>
      </c>
      <c r="J33" s="16" t="s">
        <v>105</v>
      </c>
      <c r="L33" s="16" t="s">
        <v>172</v>
      </c>
      <c r="N33" s="17" t="s">
        <v>372</v>
      </c>
      <c r="P33" s="18" t="s">
        <v>618</v>
      </c>
      <c r="Q33" s="12"/>
      <c r="R33" s="12"/>
      <c r="X33" s="92">
        <v>17</v>
      </c>
      <c r="Y33" s="93" t="s">
        <v>124</v>
      </c>
      <c r="Z33" s="94" t="s">
        <v>134</v>
      </c>
    </row>
    <row r="34" spans="2:26" x14ac:dyDescent="0.25">
      <c r="B34" s="20" t="s">
        <v>249</v>
      </c>
      <c r="D34" s="18" t="s">
        <v>353</v>
      </c>
      <c r="F34" s="1"/>
      <c r="H34" s="16" t="s">
        <v>380</v>
      </c>
      <c r="J34" s="16" t="s">
        <v>637</v>
      </c>
      <c r="L34" s="16" t="s">
        <v>90</v>
      </c>
      <c r="N34" s="17" t="s">
        <v>403</v>
      </c>
      <c r="P34" s="18" t="s">
        <v>673</v>
      </c>
      <c r="Q34" s="12"/>
      <c r="R34" s="12"/>
      <c r="X34" s="92">
        <v>18</v>
      </c>
      <c r="Y34" s="95" t="s">
        <v>124</v>
      </c>
      <c r="Z34" s="96" t="s">
        <v>141</v>
      </c>
    </row>
    <row r="35" spans="2:26" x14ac:dyDescent="0.25">
      <c r="B35" s="20" t="s">
        <v>137</v>
      </c>
      <c r="D35" s="18" t="s">
        <v>398</v>
      </c>
      <c r="F35" s="1"/>
      <c r="H35" s="16" t="s">
        <v>321</v>
      </c>
      <c r="J35" s="16" t="s">
        <v>150</v>
      </c>
      <c r="L35" s="16" t="s">
        <v>69</v>
      </c>
      <c r="N35" s="17" t="s">
        <v>173</v>
      </c>
      <c r="P35" s="18" t="s">
        <v>506</v>
      </c>
      <c r="Q35" s="12"/>
      <c r="R35" s="12"/>
      <c r="X35" s="92">
        <v>18</v>
      </c>
      <c r="Y35" s="93" t="s">
        <v>124</v>
      </c>
      <c r="Z35" s="94"/>
    </row>
    <row r="36" spans="2:26" x14ac:dyDescent="0.25">
      <c r="B36" s="20" t="s">
        <v>532</v>
      </c>
      <c r="D36" s="18" t="s">
        <v>370</v>
      </c>
      <c r="F36" s="1"/>
      <c r="H36" s="16" t="s">
        <v>270</v>
      </c>
      <c r="J36" s="16" t="s">
        <v>155</v>
      </c>
      <c r="L36" s="16" t="s">
        <v>75</v>
      </c>
      <c r="N36" s="17" t="s">
        <v>70</v>
      </c>
      <c r="P36" s="18" t="s">
        <v>509</v>
      </c>
      <c r="Q36" s="12"/>
      <c r="R36" s="12"/>
      <c r="X36" s="92">
        <v>18</v>
      </c>
      <c r="Y36" s="95" t="s">
        <v>124</v>
      </c>
      <c r="Z36" s="96" t="s">
        <v>139</v>
      </c>
    </row>
    <row r="37" spans="2:26" x14ac:dyDescent="0.25">
      <c r="B37" s="20" t="s">
        <v>153</v>
      </c>
      <c r="D37" s="18" t="s">
        <v>533</v>
      </c>
      <c r="F37" s="1"/>
      <c r="H37" s="16" t="s">
        <v>285</v>
      </c>
      <c r="J37" s="16" t="s">
        <v>144</v>
      </c>
      <c r="L37" s="16" t="s">
        <v>33</v>
      </c>
      <c r="N37" s="17" t="s">
        <v>193</v>
      </c>
      <c r="P37" s="18" t="s">
        <v>672</v>
      </c>
      <c r="Q37" s="12"/>
      <c r="R37" s="12"/>
      <c r="X37" s="92">
        <v>19</v>
      </c>
      <c r="Y37" s="93" t="s">
        <v>124</v>
      </c>
      <c r="Z37" s="94" t="s">
        <v>144</v>
      </c>
    </row>
    <row r="38" spans="2:26" x14ac:dyDescent="0.25">
      <c r="B38" s="20" t="s">
        <v>147</v>
      </c>
      <c r="D38" s="18" t="s">
        <v>534</v>
      </c>
      <c r="F38" s="1"/>
      <c r="H38" s="16" t="s">
        <v>283</v>
      </c>
      <c r="J38" s="16" t="s">
        <v>392</v>
      </c>
      <c r="L38" s="16" t="s">
        <v>307</v>
      </c>
      <c r="N38" s="17" t="s">
        <v>228</v>
      </c>
      <c r="P38" s="18" t="s">
        <v>643</v>
      </c>
      <c r="Q38" s="12"/>
      <c r="R38" s="12"/>
      <c r="X38" s="92">
        <v>20</v>
      </c>
      <c r="Y38" s="95" t="s">
        <v>124</v>
      </c>
      <c r="Z38" s="96" t="s">
        <v>150</v>
      </c>
    </row>
    <row r="39" spans="2:26" x14ac:dyDescent="0.25">
      <c r="B39" s="20" t="s">
        <v>640</v>
      </c>
      <c r="D39" s="18" t="s">
        <v>536</v>
      </c>
      <c r="F39" s="1"/>
      <c r="H39" s="16" t="s">
        <v>383</v>
      </c>
      <c r="J39" s="16" t="s">
        <v>690</v>
      </c>
      <c r="L39" s="16" t="s">
        <v>226</v>
      </c>
      <c r="N39" s="17" t="s">
        <v>309</v>
      </c>
      <c r="P39" s="18" t="s">
        <v>680</v>
      </c>
      <c r="Q39" s="12"/>
      <c r="R39" s="12"/>
      <c r="X39" s="92">
        <v>21</v>
      </c>
      <c r="Y39" s="93" t="s">
        <v>124</v>
      </c>
      <c r="Z39" s="94" t="s">
        <v>155</v>
      </c>
    </row>
    <row r="40" spans="2:26" x14ac:dyDescent="0.25">
      <c r="B40" s="20" t="s">
        <v>140</v>
      </c>
      <c r="D40" s="18" t="s">
        <v>538</v>
      </c>
      <c r="F40" s="1"/>
      <c r="H40" s="16" t="s">
        <v>73</v>
      </c>
      <c r="J40" s="16" t="s">
        <v>691</v>
      </c>
      <c r="L40" s="16" t="s">
        <v>112</v>
      </c>
      <c r="N40" s="17" t="s">
        <v>229</v>
      </c>
      <c r="P40" s="18" t="s">
        <v>512</v>
      </c>
      <c r="Q40" s="12"/>
      <c r="R40" s="12"/>
      <c r="X40" s="92">
        <v>22</v>
      </c>
      <c r="Y40" s="95" t="s">
        <v>124</v>
      </c>
      <c r="Z40" s="96" t="s">
        <v>155</v>
      </c>
    </row>
    <row r="41" spans="2:26" x14ac:dyDescent="0.25">
      <c r="B41" s="20" t="s">
        <v>142</v>
      </c>
      <c r="D41" s="18" t="s">
        <v>296</v>
      </c>
      <c r="F41" s="1"/>
      <c r="H41" s="16" t="s">
        <v>388</v>
      </c>
      <c r="J41" s="16" t="s">
        <v>402</v>
      </c>
      <c r="L41" s="16" t="s">
        <v>244</v>
      </c>
      <c r="N41" s="17" t="s">
        <v>159</v>
      </c>
      <c r="P41" s="18" t="s">
        <v>515</v>
      </c>
      <c r="Q41" s="12"/>
      <c r="R41" s="12"/>
      <c r="X41" s="92">
        <v>22</v>
      </c>
      <c r="Y41" s="93" t="s">
        <v>208</v>
      </c>
      <c r="Z41" s="94"/>
    </row>
    <row r="42" spans="2:26" x14ac:dyDescent="0.25">
      <c r="B42" s="20" t="s">
        <v>242</v>
      </c>
      <c r="D42" s="18" t="s">
        <v>539</v>
      </c>
      <c r="F42" s="1"/>
      <c r="H42" s="16" t="s">
        <v>85</v>
      </c>
      <c r="J42" s="16" t="s">
        <v>401</v>
      </c>
      <c r="L42" s="16" t="s">
        <v>166</v>
      </c>
      <c r="N42" s="17" t="s">
        <v>80</v>
      </c>
      <c r="P42" s="18" t="s">
        <v>518</v>
      </c>
      <c r="Q42" s="12"/>
      <c r="R42" s="12"/>
      <c r="X42" s="92">
        <v>23</v>
      </c>
      <c r="Y42" s="95" t="s">
        <v>124</v>
      </c>
      <c r="Z42" s="96" t="s">
        <v>155</v>
      </c>
    </row>
    <row r="43" spans="2:26" x14ac:dyDescent="0.25">
      <c r="B43" s="20" t="s">
        <v>232</v>
      </c>
      <c r="D43" s="18" t="s">
        <v>540</v>
      </c>
      <c r="F43" s="1"/>
      <c r="H43" s="16" t="s">
        <v>662</v>
      </c>
      <c r="J43" s="16" t="s">
        <v>399</v>
      </c>
      <c r="L43" s="16" t="s">
        <v>46</v>
      </c>
      <c r="N43" s="17" t="s">
        <v>273</v>
      </c>
      <c r="P43" s="18" t="s">
        <v>519</v>
      </c>
      <c r="Q43" s="12"/>
      <c r="R43" s="12"/>
      <c r="X43" s="92">
        <v>23</v>
      </c>
      <c r="Y43" s="93" t="s">
        <v>219</v>
      </c>
      <c r="Z43" s="94"/>
    </row>
    <row r="44" spans="2:26" x14ac:dyDescent="0.25">
      <c r="B44" s="20" t="s">
        <v>272</v>
      </c>
      <c r="D44" s="18" t="s">
        <v>542</v>
      </c>
      <c r="F44" s="1"/>
      <c r="H44" s="16" t="s">
        <v>267</v>
      </c>
      <c r="J44" s="16" t="s">
        <v>85</v>
      </c>
      <c r="L44" s="16" t="s">
        <v>278</v>
      </c>
      <c r="N44" s="17" t="s">
        <v>343</v>
      </c>
      <c r="P44" s="18" t="s">
        <v>646</v>
      </c>
      <c r="Q44" s="12"/>
      <c r="R44" s="12"/>
      <c r="X44" s="92">
        <v>24</v>
      </c>
      <c r="Y44" s="95" t="s">
        <v>231</v>
      </c>
      <c r="Z44" s="96"/>
    </row>
    <row r="45" spans="2:26" x14ac:dyDescent="0.25">
      <c r="B45" s="20" t="s">
        <v>286</v>
      </c>
      <c r="D45" s="18" t="s">
        <v>312</v>
      </c>
      <c r="F45" s="1"/>
      <c r="H45" s="16" t="s">
        <v>262</v>
      </c>
      <c r="J45" s="16" t="s">
        <v>434</v>
      </c>
      <c r="L45" s="16" t="s">
        <v>192</v>
      </c>
      <c r="N45" s="17" t="s">
        <v>58</v>
      </c>
      <c r="P45" s="18" t="s">
        <v>648</v>
      </c>
      <c r="Q45" s="23"/>
      <c r="R45" s="12"/>
      <c r="X45" s="92">
        <v>25</v>
      </c>
      <c r="Y45" s="93" t="s">
        <v>234</v>
      </c>
      <c r="Z45" s="94"/>
    </row>
    <row r="46" spans="2:26" x14ac:dyDescent="0.25">
      <c r="B46" s="20" t="s">
        <v>284</v>
      </c>
      <c r="D46" s="18" t="s">
        <v>545</v>
      </c>
      <c r="F46" s="1"/>
      <c r="H46" s="16" t="s">
        <v>240</v>
      </c>
      <c r="J46" s="27" t="s">
        <v>396</v>
      </c>
      <c r="L46" s="16" t="s">
        <v>145</v>
      </c>
      <c r="N46" s="17" t="s">
        <v>222</v>
      </c>
      <c r="P46" s="18" t="s">
        <v>682</v>
      </c>
      <c r="Q46" s="12"/>
      <c r="R46" s="12"/>
      <c r="X46" s="92">
        <v>26</v>
      </c>
      <c r="Y46" s="95" t="s">
        <v>238</v>
      </c>
      <c r="Z46" s="96"/>
    </row>
    <row r="47" spans="2:26" x14ac:dyDescent="0.25">
      <c r="B47" s="20" t="s">
        <v>432</v>
      </c>
      <c r="D47" s="18" t="s">
        <v>547</v>
      </c>
      <c r="F47" s="1"/>
      <c r="H47" s="16" t="s">
        <v>303</v>
      </c>
      <c r="J47"/>
      <c r="L47" s="16" t="s">
        <v>654</v>
      </c>
      <c r="N47" s="17" t="s">
        <v>94</v>
      </c>
      <c r="P47" s="22" t="s">
        <v>619</v>
      </c>
      <c r="Q47" s="12"/>
      <c r="R47" s="12"/>
      <c r="X47" s="92">
        <v>27</v>
      </c>
      <c r="Y47" s="93" t="s">
        <v>240</v>
      </c>
      <c r="Z47" s="94"/>
    </row>
    <row r="48" spans="2:26" x14ac:dyDescent="0.25">
      <c r="B48" s="20" t="s">
        <v>247</v>
      </c>
      <c r="D48" s="18" t="s">
        <v>549</v>
      </c>
      <c r="F48" s="1"/>
      <c r="H48" s="16" t="s">
        <v>331</v>
      </c>
      <c r="J48"/>
      <c r="L48" s="27" t="s">
        <v>67</v>
      </c>
      <c r="N48" s="17" t="s">
        <v>207</v>
      </c>
      <c r="P48" s="18" t="s">
        <v>521</v>
      </c>
      <c r="Q48" s="12"/>
      <c r="R48" s="12"/>
      <c r="X48" s="92">
        <v>28</v>
      </c>
      <c r="Y48" s="95" t="s">
        <v>246</v>
      </c>
      <c r="Z48" s="96"/>
    </row>
    <row r="49" spans="2:26" x14ac:dyDescent="0.25">
      <c r="B49" s="20" t="s">
        <v>629</v>
      </c>
      <c r="D49" s="18" t="s">
        <v>550</v>
      </c>
      <c r="F49" s="1"/>
      <c r="H49" s="16" t="s">
        <v>256</v>
      </c>
      <c r="J49"/>
      <c r="L49"/>
      <c r="N49" s="17" t="s">
        <v>295</v>
      </c>
      <c r="P49" s="18" t="s">
        <v>523</v>
      </c>
      <c r="Q49" s="12"/>
      <c r="R49" s="12"/>
      <c r="X49" s="97">
        <v>28</v>
      </c>
      <c r="Y49" s="93" t="s">
        <v>85</v>
      </c>
      <c r="Z49" s="94" t="s">
        <v>97</v>
      </c>
    </row>
    <row r="50" spans="2:26" x14ac:dyDescent="0.25">
      <c r="B50" s="20" t="s">
        <v>630</v>
      </c>
      <c r="D50" s="18" t="s">
        <v>551</v>
      </c>
      <c r="F50" s="1"/>
      <c r="H50" s="27" t="s">
        <v>287</v>
      </c>
      <c r="J50"/>
      <c r="L50"/>
      <c r="N50" s="17" t="s">
        <v>413</v>
      </c>
      <c r="P50" s="18" t="s">
        <v>525</v>
      </c>
      <c r="Q50" s="12"/>
      <c r="R50" s="23"/>
      <c r="X50" s="92">
        <v>29</v>
      </c>
      <c r="Y50" s="95" t="s">
        <v>248</v>
      </c>
      <c r="Z50" s="96"/>
    </row>
    <row r="51" spans="2:26" x14ac:dyDescent="0.25">
      <c r="B51" s="20" t="s">
        <v>631</v>
      </c>
      <c r="D51" s="18" t="s">
        <v>72</v>
      </c>
      <c r="F51" s="1"/>
      <c r="H51" s="27" t="s">
        <v>593</v>
      </c>
      <c r="J51"/>
      <c r="L51"/>
      <c r="N51" s="17" t="s">
        <v>183</v>
      </c>
      <c r="P51" s="18" t="s">
        <v>598</v>
      </c>
      <c r="Q51" s="12"/>
      <c r="R51" s="12"/>
      <c r="X51" s="92">
        <v>30</v>
      </c>
      <c r="Y51" s="93" t="s">
        <v>256</v>
      </c>
      <c r="Z51" s="94"/>
    </row>
    <row r="52" spans="2:26" x14ac:dyDescent="0.25">
      <c r="B52" s="20" t="s">
        <v>627</v>
      </c>
      <c r="D52" s="18" t="s">
        <v>554</v>
      </c>
      <c r="F52" s="1"/>
      <c r="H52"/>
      <c r="J52"/>
      <c r="L52"/>
      <c r="N52" s="17" t="s">
        <v>214</v>
      </c>
      <c r="P52" s="18" t="s">
        <v>650</v>
      </c>
      <c r="Q52" s="12"/>
      <c r="R52" s="12"/>
      <c r="X52" s="92">
        <v>31</v>
      </c>
      <c r="Y52" s="95" t="s">
        <v>262</v>
      </c>
      <c r="Z52" s="96"/>
    </row>
    <row r="53" spans="2:26" x14ac:dyDescent="0.25">
      <c r="B53" s="20" t="s">
        <v>632</v>
      </c>
      <c r="D53" s="18" t="s">
        <v>555</v>
      </c>
      <c r="F53" s="1"/>
      <c r="H53"/>
      <c r="J53"/>
      <c r="L53"/>
      <c r="N53" s="17" t="s">
        <v>98</v>
      </c>
      <c r="P53" s="18" t="s">
        <v>527</v>
      </c>
      <c r="Q53" s="12"/>
      <c r="R53" s="12"/>
      <c r="X53" s="92">
        <v>32</v>
      </c>
      <c r="Y53" s="93" t="s">
        <v>267</v>
      </c>
      <c r="Z53" s="94"/>
    </row>
    <row r="54" spans="2:26" x14ac:dyDescent="0.25">
      <c r="B54" s="20" t="s">
        <v>133</v>
      </c>
      <c r="D54" s="18" t="s">
        <v>557</v>
      </c>
      <c r="F54" s="1"/>
      <c r="H54"/>
      <c r="J54"/>
      <c r="L54"/>
      <c r="N54" s="17" t="s">
        <v>239</v>
      </c>
      <c r="P54" s="18" t="s">
        <v>608</v>
      </c>
      <c r="Q54" s="12"/>
      <c r="R54" s="12"/>
      <c r="X54" s="92">
        <v>33</v>
      </c>
      <c r="Y54" s="95" t="s">
        <v>270</v>
      </c>
      <c r="Z54" s="96"/>
    </row>
    <row r="55" spans="2:26" x14ac:dyDescent="0.25">
      <c r="B55" s="20" t="s">
        <v>126</v>
      </c>
      <c r="D55" s="18" t="s">
        <v>558</v>
      </c>
      <c r="F55" s="1"/>
      <c r="H55"/>
      <c r="J55"/>
      <c r="L55"/>
      <c r="N55" s="17" t="s">
        <v>280</v>
      </c>
      <c r="P55" s="18" t="s">
        <v>529</v>
      </c>
      <c r="R55" s="12"/>
      <c r="X55" s="92">
        <v>34</v>
      </c>
      <c r="Y55" s="93" t="s">
        <v>283</v>
      </c>
      <c r="Z55" s="94"/>
    </row>
    <row r="56" spans="2:26" x14ac:dyDescent="0.25">
      <c r="B56" s="20" t="s">
        <v>635</v>
      </c>
      <c r="D56" s="18" t="s">
        <v>225</v>
      </c>
      <c r="F56" s="1"/>
      <c r="H56"/>
      <c r="J56"/>
      <c r="L56"/>
      <c r="N56" s="17" t="s">
        <v>204</v>
      </c>
      <c r="P56" s="18" t="s">
        <v>617</v>
      </c>
      <c r="R56" s="12"/>
      <c r="X56" s="92">
        <v>35</v>
      </c>
      <c r="Y56" s="95" t="s">
        <v>285</v>
      </c>
      <c r="Z56" s="96"/>
    </row>
    <row r="57" spans="2:26" x14ac:dyDescent="0.25">
      <c r="B57" s="20" t="s">
        <v>386</v>
      </c>
      <c r="D57" s="18" t="s">
        <v>221</v>
      </c>
      <c r="F57" s="1"/>
      <c r="H57"/>
      <c r="J57"/>
      <c r="L57"/>
      <c r="N57" s="17" t="s">
        <v>363</v>
      </c>
      <c r="P57" s="18" t="s">
        <v>600</v>
      </c>
      <c r="R57" s="12"/>
      <c r="X57" s="92">
        <v>36</v>
      </c>
      <c r="Y57" s="93" t="s">
        <v>287</v>
      </c>
      <c r="Z57" s="94"/>
    </row>
    <row r="58" spans="2:26" x14ac:dyDescent="0.25">
      <c r="B58" s="20" t="s">
        <v>381</v>
      </c>
      <c r="D58" s="18" t="s">
        <v>319</v>
      </c>
      <c r="F58" s="1"/>
      <c r="H58"/>
      <c r="J58"/>
      <c r="L58"/>
      <c r="N58" s="17" t="s">
        <v>269</v>
      </c>
      <c r="P58" s="18" t="s">
        <v>677</v>
      </c>
      <c r="R58" s="12"/>
      <c r="X58" s="92">
        <v>37</v>
      </c>
      <c r="Y58" s="95" t="s">
        <v>297</v>
      </c>
      <c r="Z58" s="96"/>
    </row>
    <row r="59" spans="2:26" x14ac:dyDescent="0.25">
      <c r="B59" s="20" t="s">
        <v>136</v>
      </c>
      <c r="D59" s="18" t="s">
        <v>412</v>
      </c>
      <c r="F59" s="1"/>
      <c r="H59"/>
      <c r="J59"/>
      <c r="L59"/>
      <c r="N59" s="17" t="s">
        <v>158</v>
      </c>
      <c r="P59" s="18" t="s">
        <v>530</v>
      </c>
      <c r="R59" s="12"/>
      <c r="X59" s="92">
        <v>38</v>
      </c>
      <c r="Y59" s="93" t="s">
        <v>300</v>
      </c>
      <c r="Z59" s="94"/>
    </row>
    <row r="60" spans="2:26" x14ac:dyDescent="0.25">
      <c r="B60" s="20" t="s">
        <v>685</v>
      </c>
      <c r="D60" s="18" t="s">
        <v>559</v>
      </c>
      <c r="F60" s="1"/>
      <c r="H60"/>
      <c r="J60"/>
      <c r="L60"/>
      <c r="N60" s="17" t="s">
        <v>271</v>
      </c>
      <c r="P60" s="18" t="s">
        <v>531</v>
      </c>
      <c r="X60" s="92">
        <v>39</v>
      </c>
      <c r="Y60" s="95" t="s">
        <v>303</v>
      </c>
      <c r="Z60" s="96"/>
    </row>
    <row r="61" spans="2:26" x14ac:dyDescent="0.25">
      <c r="B61" s="20" t="s">
        <v>374</v>
      </c>
      <c r="D61" s="18" t="s">
        <v>560</v>
      </c>
      <c r="F61" s="1"/>
      <c r="H61"/>
      <c r="J61"/>
      <c r="L61"/>
      <c r="N61" s="17" t="s">
        <v>266</v>
      </c>
      <c r="P61" s="18" t="s">
        <v>624</v>
      </c>
      <c r="X61" s="92">
        <v>39</v>
      </c>
      <c r="Y61" s="93" t="s">
        <v>303</v>
      </c>
      <c r="Z61" s="94" t="s">
        <v>313</v>
      </c>
    </row>
    <row r="62" spans="2:26" x14ac:dyDescent="0.25">
      <c r="B62" s="20" t="s">
        <v>425</v>
      </c>
      <c r="D62" s="18" t="s">
        <v>561</v>
      </c>
      <c r="F62" s="1"/>
      <c r="H62"/>
      <c r="J62"/>
      <c r="L62"/>
      <c r="N62" s="17" t="s">
        <v>340</v>
      </c>
      <c r="P62" s="18" t="s">
        <v>693</v>
      </c>
      <c r="X62" s="92">
        <v>39</v>
      </c>
      <c r="Y62" s="95" t="s">
        <v>303</v>
      </c>
      <c r="Z62" s="96" t="s">
        <v>316</v>
      </c>
    </row>
    <row r="63" spans="2:26" x14ac:dyDescent="0.25">
      <c r="B63" s="20" t="s">
        <v>429</v>
      </c>
      <c r="D63" s="18" t="s">
        <v>562</v>
      </c>
      <c r="F63" s="1"/>
      <c r="H63"/>
      <c r="J63"/>
      <c r="L63"/>
      <c r="N63" s="17" t="s">
        <v>417</v>
      </c>
      <c r="P63" s="18" t="s">
        <v>535</v>
      </c>
      <c r="X63" s="92">
        <v>40</v>
      </c>
      <c r="Y63" s="93" t="s">
        <v>321</v>
      </c>
      <c r="Z63" s="94"/>
    </row>
    <row r="64" spans="2:26" x14ac:dyDescent="0.25">
      <c r="B64" s="20" t="s">
        <v>409</v>
      </c>
      <c r="D64" s="18" t="s">
        <v>563</v>
      </c>
      <c r="F64" s="1"/>
      <c r="H64"/>
      <c r="J64"/>
      <c r="L64"/>
      <c r="N64" s="17" t="s">
        <v>243</v>
      </c>
      <c r="P64" s="18" t="s">
        <v>607</v>
      </c>
      <c r="X64" s="92">
        <v>41</v>
      </c>
      <c r="Y64" s="95" t="s">
        <v>325</v>
      </c>
      <c r="Z64" s="96"/>
    </row>
    <row r="65" spans="2:26" x14ac:dyDescent="0.25">
      <c r="B65" s="20" t="s">
        <v>610</v>
      </c>
      <c r="D65" s="18" t="s">
        <v>564</v>
      </c>
      <c r="F65" s="1"/>
      <c r="H65"/>
      <c r="J65"/>
      <c r="L65"/>
      <c r="N65" s="17" t="s">
        <v>317</v>
      </c>
      <c r="P65" s="18" t="s">
        <v>604</v>
      </c>
      <c r="X65" s="92">
        <v>42</v>
      </c>
      <c r="Y65" s="93" t="s">
        <v>341</v>
      </c>
      <c r="Z65" s="94"/>
    </row>
    <row r="66" spans="2:26" x14ac:dyDescent="0.25">
      <c r="B66" s="20" t="s">
        <v>265</v>
      </c>
      <c r="D66" s="18" t="s">
        <v>565</v>
      </c>
      <c r="F66" s="1"/>
      <c r="H66"/>
      <c r="J66"/>
      <c r="L66"/>
      <c r="N66" s="17" t="s">
        <v>233</v>
      </c>
      <c r="P66" s="18" t="s">
        <v>596</v>
      </c>
      <c r="X66" s="92">
        <v>43</v>
      </c>
      <c r="Y66" s="95" t="s">
        <v>347</v>
      </c>
      <c r="Z66" s="96"/>
    </row>
    <row r="67" spans="2:26" x14ac:dyDescent="0.25">
      <c r="B67" s="20" t="s">
        <v>259</v>
      </c>
      <c r="D67" s="18" t="s">
        <v>566</v>
      </c>
      <c r="F67" s="1"/>
      <c r="H67"/>
      <c r="J67"/>
      <c r="L67"/>
      <c r="N67" s="17" t="s">
        <v>289</v>
      </c>
      <c r="P67" s="18" t="s">
        <v>537</v>
      </c>
      <c r="X67" s="92">
        <v>44</v>
      </c>
      <c r="Y67" s="93" t="s">
        <v>349</v>
      </c>
      <c r="Z67" s="94"/>
    </row>
    <row r="68" spans="2:26" x14ac:dyDescent="0.25">
      <c r="B68" s="20" t="s">
        <v>209</v>
      </c>
      <c r="D68" s="18" t="s">
        <v>306</v>
      </c>
      <c r="F68" s="1"/>
      <c r="H68"/>
      <c r="J68"/>
      <c r="L68"/>
      <c r="N68" s="17" t="s">
        <v>333</v>
      </c>
      <c r="P68" s="18" t="s">
        <v>612</v>
      </c>
      <c r="X68" s="92">
        <v>45</v>
      </c>
      <c r="Y68" s="95" t="s">
        <v>355</v>
      </c>
      <c r="Z68" s="96"/>
    </row>
    <row r="69" spans="2:26" x14ac:dyDescent="0.25">
      <c r="B69" s="20" t="s">
        <v>633</v>
      </c>
      <c r="D69" s="18" t="s">
        <v>66</v>
      </c>
      <c r="F69" s="1"/>
      <c r="H69"/>
      <c r="J69"/>
      <c r="L69"/>
      <c r="N69" s="17" t="s">
        <v>291</v>
      </c>
      <c r="P69" s="18" t="s">
        <v>657</v>
      </c>
      <c r="X69" s="92">
        <v>46</v>
      </c>
      <c r="Y69" s="93" t="s">
        <v>357</v>
      </c>
      <c r="Z69" s="94"/>
    </row>
    <row r="70" spans="2:26" x14ac:dyDescent="0.25">
      <c r="B70" s="20" t="s">
        <v>634</v>
      </c>
      <c r="D70" s="18" t="s">
        <v>375</v>
      </c>
      <c r="F70" s="1"/>
      <c r="H70"/>
      <c r="J70"/>
      <c r="L70"/>
      <c r="N70" s="17" t="s">
        <v>676</v>
      </c>
      <c r="P70" s="18" t="s">
        <v>541</v>
      </c>
      <c r="X70" s="92">
        <v>47</v>
      </c>
      <c r="Y70" s="95" t="s">
        <v>361</v>
      </c>
      <c r="Z70" s="96"/>
    </row>
    <row r="71" spans="2:26" x14ac:dyDescent="0.25">
      <c r="B71" s="20" t="s">
        <v>162</v>
      </c>
      <c r="D71" s="18" t="s">
        <v>428</v>
      </c>
      <c r="F71" s="1"/>
      <c r="H71"/>
      <c r="J71"/>
      <c r="L71"/>
      <c r="N71" s="17" t="s">
        <v>322</v>
      </c>
      <c r="P71" s="18" t="s">
        <v>620</v>
      </c>
      <c r="X71" s="92">
        <v>48</v>
      </c>
      <c r="Y71" s="93" t="s">
        <v>359</v>
      </c>
      <c r="Z71" s="94"/>
    </row>
    <row r="72" spans="2:26" x14ac:dyDescent="0.25">
      <c r="B72" s="20" t="s">
        <v>170</v>
      </c>
      <c r="D72" s="18" t="s">
        <v>120</v>
      </c>
      <c r="F72" s="1"/>
      <c r="H72"/>
      <c r="J72"/>
      <c r="L72"/>
      <c r="N72" s="17" t="s">
        <v>314</v>
      </c>
      <c r="P72" s="18" t="s">
        <v>543</v>
      </c>
      <c r="X72" s="92">
        <v>49</v>
      </c>
      <c r="Y72" s="95" t="s">
        <v>364</v>
      </c>
      <c r="Z72" s="96"/>
    </row>
    <row r="73" spans="2:26" x14ac:dyDescent="0.25">
      <c r="B73" s="20" t="s">
        <v>176</v>
      </c>
      <c r="D73" s="18" t="s">
        <v>567</v>
      </c>
      <c r="F73" s="1"/>
      <c r="H73"/>
      <c r="J73"/>
      <c r="L73"/>
      <c r="N73" s="17" t="s">
        <v>397</v>
      </c>
      <c r="P73" s="18" t="s">
        <v>546</v>
      </c>
      <c r="X73" s="97">
        <v>55</v>
      </c>
      <c r="Y73" s="100" t="s">
        <v>240</v>
      </c>
      <c r="Z73" s="94"/>
    </row>
    <row r="74" spans="2:26" x14ac:dyDescent="0.25">
      <c r="B74" s="20" t="s">
        <v>178</v>
      </c>
      <c r="D74" s="18" t="s">
        <v>568</v>
      </c>
      <c r="F74" s="1"/>
      <c r="H74"/>
      <c r="J74"/>
      <c r="L74"/>
      <c r="N74" s="17" t="s">
        <v>260</v>
      </c>
      <c r="P74" s="22" t="s">
        <v>544</v>
      </c>
      <c r="X74" s="101">
        <v>55</v>
      </c>
      <c r="Y74" s="98" t="s">
        <v>85</v>
      </c>
      <c r="Z74" s="96" t="s">
        <v>105</v>
      </c>
    </row>
    <row r="75" spans="2:26" x14ac:dyDescent="0.25">
      <c r="B75" s="20" t="s">
        <v>184</v>
      </c>
      <c r="D75" s="18" t="s">
        <v>138</v>
      </c>
      <c r="F75" s="1"/>
      <c r="H75"/>
      <c r="J75"/>
      <c r="L75"/>
      <c r="N75" s="17" t="s">
        <v>418</v>
      </c>
      <c r="P75" s="18" t="s">
        <v>605</v>
      </c>
      <c r="X75" s="92">
        <v>55</v>
      </c>
      <c r="Y75" s="93" t="s">
        <v>364</v>
      </c>
      <c r="Z75" s="94"/>
    </row>
    <row r="76" spans="2:26" x14ac:dyDescent="0.25">
      <c r="B76" s="20" t="s">
        <v>196</v>
      </c>
      <c r="D76" s="18" t="s">
        <v>114</v>
      </c>
      <c r="F76" s="1"/>
      <c r="H76"/>
      <c r="J76"/>
      <c r="L76"/>
      <c r="N76" s="17" t="s">
        <v>122</v>
      </c>
      <c r="P76" s="18" t="s">
        <v>639</v>
      </c>
      <c r="X76" s="92">
        <v>55</v>
      </c>
      <c r="Y76" s="95" t="s">
        <v>366</v>
      </c>
      <c r="Z76" s="96"/>
    </row>
    <row r="77" spans="2:26" x14ac:dyDescent="0.25">
      <c r="B77" s="20" t="s">
        <v>77</v>
      </c>
      <c r="D77" s="18" t="s">
        <v>217</v>
      </c>
      <c r="F77" s="1"/>
      <c r="H77"/>
      <c r="J77"/>
      <c r="L77"/>
      <c r="N77" s="17" t="s">
        <v>419</v>
      </c>
      <c r="P77" s="18" t="s">
        <v>548</v>
      </c>
      <c r="X77" s="92">
        <v>55</v>
      </c>
      <c r="Y77" s="93" t="s">
        <v>368</v>
      </c>
      <c r="Z77" s="94"/>
    </row>
    <row r="78" spans="2:26" x14ac:dyDescent="0.25">
      <c r="B78" s="20" t="s">
        <v>290</v>
      </c>
      <c r="D78" s="18" t="s">
        <v>569</v>
      </c>
      <c r="F78" s="1"/>
      <c r="H78"/>
      <c r="J78"/>
      <c r="L78"/>
      <c r="N78" s="17" t="s">
        <v>431</v>
      </c>
      <c r="P78" s="18" t="s">
        <v>621</v>
      </c>
      <c r="X78" s="97">
        <v>55</v>
      </c>
      <c r="Y78" s="95"/>
      <c r="Z78" s="96"/>
    </row>
    <row r="79" spans="2:26" x14ac:dyDescent="0.25">
      <c r="B79" s="20" t="s">
        <v>385</v>
      </c>
      <c r="D79" s="18" t="s">
        <v>570</v>
      </c>
      <c r="F79" s="1"/>
      <c r="H79"/>
      <c r="J79"/>
      <c r="L79"/>
      <c r="N79" s="17" t="s">
        <v>187</v>
      </c>
      <c r="P79" s="18" t="s">
        <v>622</v>
      </c>
      <c r="X79" s="97"/>
      <c r="Y79" s="95"/>
      <c r="Z79" s="96"/>
    </row>
    <row r="80" spans="2:26" x14ac:dyDescent="0.25">
      <c r="B80" s="20" t="s">
        <v>692</v>
      </c>
      <c r="D80" s="18" t="s">
        <v>571</v>
      </c>
      <c r="F80" s="1"/>
      <c r="H80"/>
      <c r="J80"/>
      <c r="L80"/>
      <c r="N80" s="17" t="s">
        <v>189</v>
      </c>
      <c r="P80" s="18" t="s">
        <v>552</v>
      </c>
      <c r="X80" s="102">
        <v>55</v>
      </c>
      <c r="Y80" s="98" t="s">
        <v>388</v>
      </c>
      <c r="Z80" s="94" t="s">
        <v>389</v>
      </c>
    </row>
    <row r="81" spans="2:26" x14ac:dyDescent="0.25">
      <c r="B81" s="20" t="s">
        <v>85</v>
      </c>
      <c r="D81" s="18" t="s">
        <v>572</v>
      </c>
      <c r="F81" s="1"/>
      <c r="H81"/>
      <c r="J81"/>
      <c r="L81"/>
      <c r="N81" s="17" t="s">
        <v>167</v>
      </c>
      <c r="P81" s="18" t="s">
        <v>553</v>
      </c>
      <c r="X81" s="97">
        <v>55</v>
      </c>
      <c r="Y81" s="98" t="s">
        <v>248</v>
      </c>
      <c r="Z81" s="96"/>
    </row>
    <row r="82" spans="2:26" x14ac:dyDescent="0.25">
      <c r="B82" s="20" t="s">
        <v>88</v>
      </c>
      <c r="D82" s="28" t="s">
        <v>143</v>
      </c>
      <c r="F82" s="1"/>
      <c r="H82"/>
      <c r="J82"/>
      <c r="L82"/>
      <c r="N82" s="17" t="s">
        <v>311</v>
      </c>
      <c r="P82" s="18" t="s">
        <v>683</v>
      </c>
      <c r="X82" s="92">
        <v>55</v>
      </c>
      <c r="Y82" s="93" t="s">
        <v>378</v>
      </c>
      <c r="Z82" s="94"/>
    </row>
    <row r="83" spans="2:26" x14ac:dyDescent="0.25">
      <c r="B83" s="20" t="s">
        <v>92</v>
      </c>
      <c r="D83" s="3"/>
      <c r="F83" s="1"/>
      <c r="H83"/>
      <c r="J83"/>
      <c r="L83"/>
      <c r="N83" s="17" t="s">
        <v>211</v>
      </c>
      <c r="P83" s="18" t="s">
        <v>603</v>
      </c>
      <c r="X83" s="92">
        <v>55</v>
      </c>
      <c r="Y83" s="95" t="s">
        <v>380</v>
      </c>
      <c r="Z83" s="96"/>
    </row>
    <row r="84" spans="2:26" x14ac:dyDescent="0.25">
      <c r="B84" s="20" t="s">
        <v>95</v>
      </c>
      <c r="D84" s="3"/>
      <c r="F84" s="1"/>
      <c r="H84"/>
      <c r="J84"/>
      <c r="L84"/>
      <c r="N84" s="17" t="s">
        <v>218</v>
      </c>
      <c r="P84" s="18" t="s">
        <v>616</v>
      </c>
      <c r="X84" s="97">
        <v>55</v>
      </c>
      <c r="Y84" s="100" t="s">
        <v>390</v>
      </c>
      <c r="Z84" s="94"/>
    </row>
    <row r="85" spans="2:26" x14ac:dyDescent="0.25">
      <c r="B85" s="20" t="s">
        <v>99</v>
      </c>
      <c r="D85" s="3"/>
      <c r="F85" s="1"/>
      <c r="H85"/>
      <c r="J85"/>
      <c r="L85"/>
      <c r="N85" s="17" t="s">
        <v>408</v>
      </c>
      <c r="P85" s="18" t="s">
        <v>606</v>
      </c>
      <c r="X85" s="92">
        <v>55</v>
      </c>
      <c r="Y85" s="95" t="s">
        <v>383</v>
      </c>
      <c r="Z85" s="96"/>
    </row>
    <row r="86" spans="2:26" x14ac:dyDescent="0.25">
      <c r="B86" s="20" t="s">
        <v>103</v>
      </c>
      <c r="D86" s="3"/>
      <c r="F86" s="1"/>
      <c r="H86"/>
      <c r="J86"/>
      <c r="L86"/>
      <c r="N86" s="17" t="s">
        <v>55</v>
      </c>
      <c r="P86" s="18" t="s">
        <v>556</v>
      </c>
      <c r="X86" s="97">
        <v>55</v>
      </c>
      <c r="Y86" s="100" t="s">
        <v>357</v>
      </c>
      <c r="Z86" s="94"/>
    </row>
    <row r="87" spans="2:26" x14ac:dyDescent="0.25">
      <c r="B87" s="20" t="s">
        <v>108</v>
      </c>
      <c r="D87" s="3"/>
      <c r="F87" s="1"/>
      <c r="H87"/>
      <c r="J87"/>
      <c r="L87"/>
      <c r="N87" s="17" t="s">
        <v>149</v>
      </c>
      <c r="P87" s="18" t="s">
        <v>644</v>
      </c>
      <c r="X87" s="97">
        <v>55</v>
      </c>
      <c r="Y87" s="100" t="s">
        <v>331</v>
      </c>
      <c r="Z87" s="96"/>
    </row>
    <row r="88" spans="2:26" x14ac:dyDescent="0.25">
      <c r="B88" s="20" t="s">
        <v>594</v>
      </c>
      <c r="D88" s="3"/>
      <c r="F88" s="1"/>
      <c r="H88"/>
      <c r="J88"/>
      <c r="L88"/>
      <c r="N88" s="17" t="s">
        <v>51</v>
      </c>
      <c r="P88" s="18" t="s">
        <v>615</v>
      </c>
      <c r="X88" s="92">
        <v>56</v>
      </c>
      <c r="Y88" s="93" t="s">
        <v>391</v>
      </c>
      <c r="Z88" s="94" t="s">
        <v>392</v>
      </c>
    </row>
    <row r="89" spans="2:26" x14ac:dyDescent="0.25">
      <c r="B89" s="20" t="s">
        <v>117</v>
      </c>
      <c r="D89" s="3"/>
      <c r="F89" s="1"/>
      <c r="H89"/>
      <c r="J89"/>
      <c r="L89"/>
      <c r="N89" s="17" t="s">
        <v>52</v>
      </c>
      <c r="P89" s="18" t="s">
        <v>688</v>
      </c>
      <c r="X89" s="92">
        <v>56</v>
      </c>
      <c r="Y89" s="95" t="s">
        <v>83</v>
      </c>
      <c r="Z89" s="96" t="s">
        <v>396</v>
      </c>
    </row>
    <row r="90" spans="2:26" x14ac:dyDescent="0.25">
      <c r="B90" s="20" t="s">
        <v>263</v>
      </c>
      <c r="D90" s="3"/>
      <c r="F90" s="1"/>
      <c r="H90"/>
      <c r="J90"/>
      <c r="L90"/>
      <c r="N90" s="17" t="s">
        <v>203</v>
      </c>
      <c r="P90" s="28" t="s">
        <v>678</v>
      </c>
      <c r="X90" s="92">
        <v>56</v>
      </c>
      <c r="Y90" s="93" t="s">
        <v>83</v>
      </c>
      <c r="Z90" s="94" t="s">
        <v>399</v>
      </c>
    </row>
    <row r="91" spans="2:26" x14ac:dyDescent="0.25">
      <c r="B91" s="20" t="s">
        <v>597</v>
      </c>
      <c r="D91" s="3"/>
      <c r="F91" s="1"/>
      <c r="H91"/>
      <c r="J91"/>
      <c r="L91"/>
      <c r="N91" s="17" t="s">
        <v>79</v>
      </c>
      <c r="P91" s="28" t="s">
        <v>658</v>
      </c>
      <c r="X91" s="92">
        <v>56</v>
      </c>
      <c r="Y91" s="95" t="s">
        <v>83</v>
      </c>
      <c r="Z91" s="96" t="s">
        <v>401</v>
      </c>
    </row>
    <row r="92" spans="2:26" x14ac:dyDescent="0.25">
      <c r="B92" s="20" t="s">
        <v>651</v>
      </c>
      <c r="D92" s="3"/>
      <c r="F92" s="1"/>
      <c r="H92"/>
      <c r="J92"/>
      <c r="L92"/>
      <c r="N92" s="17" t="s">
        <v>410</v>
      </c>
      <c r="P92" s="18" t="s">
        <v>696</v>
      </c>
      <c r="X92" s="99">
        <v>56</v>
      </c>
      <c r="Y92" s="103" t="s">
        <v>261</v>
      </c>
      <c r="Z92" s="94" t="s">
        <v>402</v>
      </c>
    </row>
    <row r="93" spans="2:26" x14ac:dyDescent="0.25">
      <c r="B93" s="20" t="s">
        <v>664</v>
      </c>
      <c r="D93" s="3"/>
      <c r="F93" s="1"/>
      <c r="H93"/>
      <c r="J93"/>
      <c r="L93"/>
      <c r="N93" s="17" t="s">
        <v>163</v>
      </c>
      <c r="P93" s="19" t="s">
        <v>695</v>
      </c>
      <c r="W93" s="99"/>
      <c r="X93" s="103"/>
      <c r="Y93" s="94"/>
    </row>
    <row r="94" spans="2:26" x14ac:dyDescent="0.25">
      <c r="B94" s="20" t="s">
        <v>652</v>
      </c>
      <c r="D94" s="3"/>
      <c r="F94" s="1"/>
      <c r="H94"/>
      <c r="J94"/>
      <c r="L94"/>
      <c r="N94" s="17" t="s">
        <v>200</v>
      </c>
      <c r="P94" s="19" t="s">
        <v>698</v>
      </c>
      <c r="W94" s="99"/>
      <c r="X94" s="103"/>
      <c r="Y94" s="94"/>
    </row>
    <row r="95" spans="2:26" x14ac:dyDescent="0.25">
      <c r="B95" s="20" t="s">
        <v>391</v>
      </c>
      <c r="D95" s="3"/>
      <c r="F95" s="1"/>
      <c r="H95"/>
      <c r="J95"/>
      <c r="L95"/>
      <c r="N95" s="17" t="s">
        <v>156</v>
      </c>
      <c r="P95" s="19" t="s">
        <v>699</v>
      </c>
      <c r="W95" s="92">
        <v>57</v>
      </c>
      <c r="X95" s="95" t="s">
        <v>124</v>
      </c>
      <c r="Y95" s="96" t="s">
        <v>144</v>
      </c>
    </row>
    <row r="96" spans="2:26" x14ac:dyDescent="0.25">
      <c r="B96" s="20" t="s">
        <v>671</v>
      </c>
      <c r="D96" s="3"/>
      <c r="F96" s="1"/>
      <c r="H96"/>
      <c r="J96"/>
      <c r="L96"/>
      <c r="N96" s="17" t="s">
        <v>61</v>
      </c>
      <c r="P96" s="19" t="s">
        <v>700</v>
      </c>
      <c r="W96" s="92">
        <v>58</v>
      </c>
      <c r="X96" s="93" t="s">
        <v>85</v>
      </c>
      <c r="Y96" s="94" t="s">
        <v>390</v>
      </c>
    </row>
    <row r="97" spans="2:25" x14ac:dyDescent="0.25">
      <c r="B97" s="20" t="s">
        <v>653</v>
      </c>
      <c r="D97" s="3"/>
      <c r="F97" s="1"/>
      <c r="H97"/>
      <c r="J97"/>
      <c r="L97"/>
      <c r="N97" s="17" t="s">
        <v>87</v>
      </c>
      <c r="W97" s="92">
        <v>59</v>
      </c>
      <c r="X97" s="95" t="s">
        <v>85</v>
      </c>
      <c r="Y97" s="96"/>
    </row>
    <row r="98" spans="2:25" x14ac:dyDescent="0.25">
      <c r="B98" s="29" t="s">
        <v>435</v>
      </c>
      <c r="D98" s="3"/>
      <c r="F98" s="1"/>
      <c r="H98"/>
      <c r="J98"/>
      <c r="L98"/>
      <c r="N98" s="17" t="s">
        <v>394</v>
      </c>
      <c r="W98" s="99">
        <v>59</v>
      </c>
      <c r="X98" s="93" t="s">
        <v>422</v>
      </c>
      <c r="Y98" s="94"/>
    </row>
    <row r="99" spans="2:25" x14ac:dyDescent="0.25">
      <c r="B99"/>
      <c r="D99" s="3"/>
      <c r="F99" s="1"/>
      <c r="H99"/>
      <c r="J99"/>
      <c r="L99"/>
      <c r="N99" s="17" t="s">
        <v>245</v>
      </c>
      <c r="W99" s="97">
        <v>243</v>
      </c>
      <c r="X99" s="100"/>
      <c r="Y99" s="96"/>
    </row>
    <row r="100" spans="2:25" x14ac:dyDescent="0.25">
      <c r="B100"/>
      <c r="D100" s="3"/>
      <c r="F100" s="1"/>
      <c r="H100"/>
      <c r="J100"/>
      <c r="L100"/>
      <c r="N100" s="17" t="s">
        <v>201</v>
      </c>
    </row>
    <row r="101" spans="2:25" x14ac:dyDescent="0.25">
      <c r="B101"/>
      <c r="D101" s="3"/>
      <c r="F101" s="1"/>
      <c r="H101"/>
      <c r="J101"/>
      <c r="L101"/>
      <c r="N101" s="17" t="s">
        <v>420</v>
      </c>
    </row>
    <row r="102" spans="2:25" x14ac:dyDescent="0.25">
      <c r="B102"/>
      <c r="D102" s="3"/>
      <c r="F102" s="1"/>
      <c r="H102"/>
      <c r="J102"/>
      <c r="L102"/>
      <c r="N102" s="17" t="s">
        <v>206</v>
      </c>
    </row>
    <row r="103" spans="2:25" x14ac:dyDescent="0.25">
      <c r="B103"/>
      <c r="D103" s="3"/>
      <c r="F103" s="1"/>
      <c r="H103"/>
      <c r="J103"/>
      <c r="L103"/>
      <c r="N103" s="17" t="s">
        <v>168</v>
      </c>
    </row>
    <row r="104" spans="2:25" x14ac:dyDescent="0.25">
      <c r="B104"/>
      <c r="D104" s="3"/>
      <c r="F104" s="1"/>
      <c r="H104"/>
      <c r="J104"/>
      <c r="L104"/>
      <c r="N104" s="17" t="s">
        <v>294</v>
      </c>
    </row>
    <row r="105" spans="2:25" x14ac:dyDescent="0.25">
      <c r="B105"/>
      <c r="D105" s="3"/>
      <c r="F105" s="1"/>
      <c r="H105"/>
      <c r="J105"/>
      <c r="L105"/>
      <c r="N105" s="17" t="s">
        <v>293</v>
      </c>
    </row>
    <row r="106" spans="2:25" x14ac:dyDescent="0.25">
      <c r="B106"/>
      <c r="D106" s="3"/>
      <c r="F106" s="1"/>
      <c r="H106"/>
      <c r="J106"/>
      <c r="L106"/>
      <c r="N106" s="17" t="s">
        <v>299</v>
      </c>
    </row>
    <row r="107" spans="2:25" x14ac:dyDescent="0.25">
      <c r="B107"/>
      <c r="D107" s="3"/>
      <c r="F107" s="1"/>
      <c r="H107"/>
      <c r="J107"/>
      <c r="L107"/>
      <c r="N107" s="17" t="s">
        <v>113</v>
      </c>
    </row>
    <row r="108" spans="2:25" x14ac:dyDescent="0.25">
      <c r="B108"/>
      <c r="D108" s="3"/>
      <c r="F108" s="1"/>
      <c r="H108"/>
      <c r="J108"/>
      <c r="L108"/>
      <c r="N108" s="17" t="s">
        <v>102</v>
      </c>
    </row>
    <row r="109" spans="2:25" x14ac:dyDescent="0.25">
      <c r="B109"/>
      <c r="D109" s="3"/>
      <c r="F109" s="1"/>
      <c r="H109"/>
      <c r="J109"/>
      <c r="L109"/>
      <c r="N109" s="17" t="s">
        <v>241</v>
      </c>
    </row>
    <row r="110" spans="2:25" x14ac:dyDescent="0.25">
      <c r="B110"/>
      <c r="D110" s="3"/>
      <c r="F110" s="1"/>
      <c r="H110"/>
      <c r="J110"/>
      <c r="L110"/>
      <c r="N110" s="17" t="s">
        <v>116</v>
      </c>
    </row>
    <row r="111" spans="2:25" x14ac:dyDescent="0.25">
      <c r="B111"/>
      <c r="D111" s="3"/>
      <c r="F111" s="1"/>
      <c r="H111"/>
      <c r="J111"/>
      <c r="L111"/>
      <c r="N111" s="17" t="s">
        <v>34</v>
      </c>
    </row>
    <row r="112" spans="2:25" x14ac:dyDescent="0.25">
      <c r="B112"/>
      <c r="D112" s="3"/>
      <c r="F112" s="1"/>
      <c r="H112"/>
      <c r="J112"/>
      <c r="L112"/>
      <c r="N112" s="17" t="s">
        <v>190</v>
      </c>
    </row>
    <row r="113" spans="2:14" x14ac:dyDescent="0.25">
      <c r="B113"/>
      <c r="D113" s="3"/>
      <c r="F113" s="1"/>
      <c r="H113"/>
      <c r="J113"/>
      <c r="L113"/>
      <c r="N113" s="17" t="s">
        <v>197</v>
      </c>
    </row>
    <row r="114" spans="2:14" x14ac:dyDescent="0.25">
      <c r="B114"/>
      <c r="D114" s="3"/>
      <c r="F114" s="1"/>
      <c r="H114"/>
      <c r="J114"/>
      <c r="L114"/>
      <c r="N114" s="17" t="s">
        <v>329</v>
      </c>
    </row>
    <row r="115" spans="2:14" x14ac:dyDescent="0.25">
      <c r="B115"/>
      <c r="D115" s="3"/>
      <c r="F115" s="1"/>
      <c r="H115"/>
      <c r="J115"/>
      <c r="L115"/>
      <c r="N115" s="17" t="s">
        <v>64</v>
      </c>
    </row>
    <row r="116" spans="2:14" x14ac:dyDescent="0.25">
      <c r="B116"/>
      <c r="D116" s="3"/>
      <c r="F116" s="1"/>
      <c r="H116"/>
      <c r="J116"/>
      <c r="L116"/>
      <c r="N116" s="17" t="s">
        <v>213</v>
      </c>
    </row>
    <row r="117" spans="2:14" x14ac:dyDescent="0.25">
      <c r="B117"/>
      <c r="D117" s="3"/>
      <c r="F117" s="1"/>
      <c r="H117"/>
      <c r="J117"/>
      <c r="L117"/>
      <c r="N117" s="17" t="s">
        <v>128</v>
      </c>
    </row>
    <row r="118" spans="2:14" x14ac:dyDescent="0.25">
      <c r="B118"/>
      <c r="D118" s="3"/>
      <c r="F118" s="1"/>
      <c r="H118"/>
      <c r="J118"/>
      <c r="L118"/>
      <c r="N118" s="17" t="s">
        <v>110</v>
      </c>
    </row>
    <row r="119" spans="2:14" x14ac:dyDescent="0.25">
      <c r="B119"/>
      <c r="D119" s="3"/>
      <c r="F119" s="1"/>
      <c r="H119"/>
      <c r="J119"/>
      <c r="L119"/>
      <c r="N119" s="17" t="s">
        <v>121</v>
      </c>
    </row>
    <row r="120" spans="2:14" x14ac:dyDescent="0.25">
      <c r="B120"/>
      <c r="D120" s="3"/>
      <c r="F120" s="1"/>
      <c r="H120"/>
      <c r="J120"/>
      <c r="L120"/>
      <c r="N120" s="17" t="s">
        <v>107</v>
      </c>
    </row>
    <row r="121" spans="2:14" x14ac:dyDescent="0.25">
      <c r="B121"/>
      <c r="D121" s="3"/>
      <c r="F121" s="1"/>
      <c r="H121"/>
      <c r="J121"/>
      <c r="L121"/>
      <c r="N121" s="17" t="s">
        <v>328</v>
      </c>
    </row>
    <row r="122" spans="2:14" x14ac:dyDescent="0.25">
      <c r="B122"/>
      <c r="D122" s="3"/>
      <c r="F122" s="1"/>
      <c r="H122"/>
      <c r="J122"/>
      <c r="L122"/>
      <c r="N122" s="17" t="s">
        <v>237</v>
      </c>
    </row>
    <row r="123" spans="2:14" x14ac:dyDescent="0.25">
      <c r="B123"/>
      <c r="D123" s="3"/>
      <c r="F123" s="1"/>
      <c r="H123"/>
      <c r="J123"/>
      <c r="L123"/>
      <c r="N123" s="17" t="s">
        <v>346</v>
      </c>
    </row>
    <row r="124" spans="2:14" x14ac:dyDescent="0.25">
      <c r="B124"/>
      <c r="D124" s="3"/>
      <c r="F124" s="1"/>
      <c r="H124"/>
      <c r="J124"/>
      <c r="L124"/>
      <c r="N124" s="17" t="s">
        <v>164</v>
      </c>
    </row>
    <row r="125" spans="2:14" x14ac:dyDescent="0.25">
      <c r="B125"/>
      <c r="D125" s="3"/>
      <c r="F125" s="1"/>
      <c r="H125"/>
      <c r="J125"/>
      <c r="L125"/>
      <c r="N125" s="17" t="s">
        <v>324</v>
      </c>
    </row>
    <row r="126" spans="2:14" x14ac:dyDescent="0.25">
      <c r="B126"/>
      <c r="D126" s="3"/>
      <c r="F126" s="1"/>
      <c r="H126"/>
      <c r="J126"/>
      <c r="L126"/>
      <c r="N126" s="17" t="s">
        <v>191</v>
      </c>
    </row>
    <row r="127" spans="2:14" x14ac:dyDescent="0.25">
      <c r="B127"/>
      <c r="D127" s="3"/>
      <c r="F127" s="1"/>
      <c r="H127"/>
      <c r="J127"/>
      <c r="L127"/>
      <c r="N127" s="17" t="s">
        <v>157</v>
      </c>
    </row>
    <row r="128" spans="2:14" x14ac:dyDescent="0.25">
      <c r="B128"/>
      <c r="D128" s="3"/>
      <c r="F128" s="1"/>
      <c r="H128"/>
      <c r="J128"/>
      <c r="L128"/>
      <c r="N128" s="17" t="s">
        <v>216</v>
      </c>
    </row>
    <row r="129" spans="2:14" x14ac:dyDescent="0.25">
      <c r="B129"/>
      <c r="D129" s="3"/>
      <c r="F129" s="1"/>
      <c r="H129"/>
      <c r="J129"/>
      <c r="L129"/>
      <c r="N129" s="17" t="s">
        <v>59</v>
      </c>
    </row>
    <row r="130" spans="2:14" x14ac:dyDescent="0.25">
      <c r="B130"/>
      <c r="D130" s="3"/>
      <c r="F130" s="1"/>
      <c r="H130"/>
      <c r="J130"/>
      <c r="L130"/>
      <c r="N130" s="17" t="s">
        <v>215</v>
      </c>
    </row>
    <row r="131" spans="2:14" x14ac:dyDescent="0.25">
      <c r="B131"/>
      <c r="D131" s="3"/>
      <c r="F131" s="1"/>
      <c r="H131"/>
      <c r="J131"/>
      <c r="L131"/>
      <c r="N131" s="17" t="s">
        <v>345</v>
      </c>
    </row>
    <row r="132" spans="2:14" x14ac:dyDescent="0.25">
      <c r="B132"/>
      <c r="D132" s="3"/>
      <c r="F132" s="1"/>
      <c r="H132"/>
      <c r="J132"/>
      <c r="L132"/>
      <c r="N132" s="17" t="s">
        <v>198</v>
      </c>
    </row>
    <row r="133" spans="2:14" x14ac:dyDescent="0.25">
      <c r="B133"/>
      <c r="D133" s="3"/>
      <c r="F133" s="1"/>
      <c r="H133"/>
      <c r="J133"/>
      <c r="L133"/>
      <c r="N133" s="17" t="s">
        <v>146</v>
      </c>
    </row>
    <row r="134" spans="2:14" x14ac:dyDescent="0.25">
      <c r="B134"/>
      <c r="D134" s="3"/>
      <c r="F134" s="1"/>
      <c r="H134"/>
      <c r="J134"/>
      <c r="L134"/>
      <c r="N134" s="17" t="s">
        <v>339</v>
      </c>
    </row>
    <row r="135" spans="2:14" x14ac:dyDescent="0.25">
      <c r="B135"/>
      <c r="D135" s="3"/>
      <c r="F135" s="1"/>
      <c r="H135"/>
      <c r="J135"/>
      <c r="L135"/>
      <c r="N135" s="17" t="s">
        <v>281</v>
      </c>
    </row>
    <row r="136" spans="2:14" x14ac:dyDescent="0.25">
      <c r="B136"/>
      <c r="D136" s="3"/>
      <c r="F136" s="1"/>
      <c r="H136"/>
      <c r="J136"/>
      <c r="L136"/>
      <c r="N136" s="17" t="s">
        <v>135</v>
      </c>
    </row>
    <row r="137" spans="2:14" x14ac:dyDescent="0.25">
      <c r="B137"/>
      <c r="D137" s="3"/>
      <c r="F137" s="1"/>
      <c r="H137"/>
      <c r="J137"/>
      <c r="L137"/>
      <c r="N137" s="17" t="s">
        <v>205</v>
      </c>
    </row>
    <row r="138" spans="2:14" x14ac:dyDescent="0.25">
      <c r="B138"/>
      <c r="D138" s="3"/>
      <c r="F138" s="1"/>
      <c r="H138"/>
      <c r="J138"/>
      <c r="L138"/>
      <c r="N138" s="17" t="s">
        <v>656</v>
      </c>
    </row>
    <row r="139" spans="2:14" x14ac:dyDescent="0.25">
      <c r="B139"/>
      <c r="D139" s="3"/>
      <c r="F139" s="1"/>
      <c r="H139"/>
      <c r="J139"/>
      <c r="L139"/>
      <c r="N139" s="17" t="s">
        <v>202</v>
      </c>
    </row>
    <row r="140" spans="2:14" x14ac:dyDescent="0.25">
      <c r="B140"/>
      <c r="D140" s="3"/>
      <c r="F140" s="1"/>
      <c r="H140"/>
      <c r="J140"/>
      <c r="L140"/>
      <c r="N140" s="17" t="s">
        <v>679</v>
      </c>
    </row>
    <row r="141" spans="2:14" x14ac:dyDescent="0.25">
      <c r="B141"/>
      <c r="D141" s="3"/>
      <c r="F141" s="1"/>
      <c r="H141"/>
      <c r="J141"/>
      <c r="L141"/>
      <c r="N141" s="17" t="s">
        <v>49</v>
      </c>
    </row>
    <row r="142" spans="2:14" x14ac:dyDescent="0.25">
      <c r="B142"/>
      <c r="D142" s="3"/>
      <c r="F142" s="1"/>
      <c r="H142"/>
      <c r="J142"/>
      <c r="L142"/>
      <c r="N142" s="17" t="s">
        <v>56</v>
      </c>
    </row>
    <row r="143" spans="2:14" x14ac:dyDescent="0.25">
      <c r="B143"/>
      <c r="D143" s="3"/>
      <c r="F143" s="1"/>
      <c r="H143"/>
      <c r="J143"/>
      <c r="L143"/>
      <c r="N143" s="17" t="s">
        <v>352</v>
      </c>
    </row>
    <row r="144" spans="2:14" x14ac:dyDescent="0.25">
      <c r="B144"/>
      <c r="D144" s="3"/>
      <c r="F144" s="1"/>
      <c r="H144"/>
      <c r="J144"/>
      <c r="L144"/>
      <c r="N144" s="17" t="s">
        <v>337</v>
      </c>
    </row>
    <row r="145" spans="2:14" x14ac:dyDescent="0.25">
      <c r="B145"/>
      <c r="D145" s="3"/>
      <c r="F145" s="1"/>
      <c r="H145"/>
      <c r="J145"/>
      <c r="L145"/>
      <c r="N145" s="17" t="s">
        <v>384</v>
      </c>
    </row>
    <row r="146" spans="2:14" x14ac:dyDescent="0.25">
      <c r="B146"/>
      <c r="D146" s="3"/>
      <c r="F146" s="1"/>
      <c r="H146"/>
      <c r="J146"/>
      <c r="L146"/>
      <c r="N146" s="17" t="s">
        <v>76</v>
      </c>
    </row>
    <row r="147" spans="2:14" x14ac:dyDescent="0.25">
      <c r="B147"/>
      <c r="D147" s="3"/>
      <c r="F147" s="1"/>
      <c r="H147"/>
      <c r="J147"/>
      <c r="L147"/>
      <c r="N147" s="17" t="s">
        <v>427</v>
      </c>
    </row>
    <row r="148" spans="2:14" x14ac:dyDescent="0.25">
      <c r="B148"/>
      <c r="D148" s="3"/>
      <c r="F148" s="1"/>
      <c r="H148"/>
      <c r="J148"/>
      <c r="L148"/>
      <c r="N148" s="17" t="s">
        <v>344</v>
      </c>
    </row>
    <row r="149" spans="2:14" x14ac:dyDescent="0.25">
      <c r="B149"/>
      <c r="D149" s="3"/>
      <c r="F149" s="1"/>
      <c r="H149"/>
      <c r="J149"/>
      <c r="L149"/>
      <c r="N149" s="17" t="s">
        <v>292</v>
      </c>
    </row>
    <row r="150" spans="2:14" x14ac:dyDescent="0.25">
      <c r="B150"/>
      <c r="D150" s="3"/>
      <c r="F150" s="1"/>
      <c r="H150"/>
      <c r="J150"/>
      <c r="L150"/>
      <c r="N150" s="17" t="s">
        <v>224</v>
      </c>
    </row>
    <row r="151" spans="2:14" x14ac:dyDescent="0.25">
      <c r="B151"/>
      <c r="D151" s="3"/>
      <c r="F151" s="1"/>
      <c r="H151"/>
      <c r="J151"/>
      <c r="L151"/>
      <c r="N151" s="17" t="s">
        <v>180</v>
      </c>
    </row>
    <row r="152" spans="2:14" x14ac:dyDescent="0.25">
      <c r="B152"/>
      <c r="D152" s="3"/>
      <c r="F152" s="1"/>
      <c r="H152"/>
      <c r="J152"/>
      <c r="L152"/>
      <c r="N152" s="17" t="s">
        <v>407</v>
      </c>
    </row>
    <row r="153" spans="2:14" x14ac:dyDescent="0.25">
      <c r="B153"/>
      <c r="D153" s="3"/>
      <c r="F153" s="1"/>
      <c r="H153"/>
      <c r="J153"/>
      <c r="L153"/>
      <c r="N153" s="17" t="s">
        <v>148</v>
      </c>
    </row>
    <row r="154" spans="2:14" x14ac:dyDescent="0.25">
      <c r="B154"/>
      <c r="D154" s="3"/>
      <c r="F154" s="1"/>
      <c r="H154"/>
      <c r="J154"/>
      <c r="L154"/>
      <c r="N154" s="17" t="s">
        <v>400</v>
      </c>
    </row>
    <row r="155" spans="2:14" x14ac:dyDescent="0.25">
      <c r="B155"/>
      <c r="D155" s="3"/>
      <c r="F155" s="1"/>
      <c r="H155"/>
      <c r="J155"/>
      <c r="L155"/>
      <c r="N155" s="17" t="s">
        <v>305</v>
      </c>
    </row>
    <row r="156" spans="2:14" x14ac:dyDescent="0.25">
      <c r="B156"/>
      <c r="D156" s="3"/>
      <c r="F156" s="1"/>
      <c r="H156"/>
      <c r="J156"/>
      <c r="L156"/>
      <c r="N156" s="17" t="s">
        <v>276</v>
      </c>
    </row>
    <row r="157" spans="2:14" x14ac:dyDescent="0.25">
      <c r="B157"/>
      <c r="D157" s="3"/>
      <c r="F157" s="1"/>
      <c r="H157"/>
      <c r="J157"/>
      <c r="L157"/>
      <c r="N157" s="17" t="s">
        <v>236</v>
      </c>
    </row>
    <row r="158" spans="2:14" x14ac:dyDescent="0.25">
      <c r="B158"/>
      <c r="D158" s="3"/>
      <c r="F158" s="1"/>
      <c r="H158"/>
      <c r="J158"/>
      <c r="L158"/>
      <c r="N158" s="17" t="s">
        <v>54</v>
      </c>
    </row>
    <row r="159" spans="2:14" x14ac:dyDescent="0.25">
      <c r="B159"/>
      <c r="D159" s="3"/>
      <c r="F159" s="1"/>
      <c r="H159"/>
      <c r="J159"/>
      <c r="L159"/>
      <c r="N159" s="17" t="s">
        <v>675</v>
      </c>
    </row>
    <row r="160" spans="2:14" x14ac:dyDescent="0.25">
      <c r="B160"/>
      <c r="D160" s="3"/>
      <c r="F160" s="1"/>
      <c r="H160"/>
      <c r="J160"/>
      <c r="L160"/>
      <c r="N160" s="17" t="s">
        <v>174</v>
      </c>
    </row>
    <row r="161" spans="2:14" x14ac:dyDescent="0.25">
      <c r="B161"/>
      <c r="D161" s="3"/>
      <c r="F161" s="1"/>
      <c r="H161"/>
      <c r="J161"/>
      <c r="L161"/>
      <c r="N161" s="17" t="s">
        <v>405</v>
      </c>
    </row>
    <row r="162" spans="2:14" x14ac:dyDescent="0.25">
      <c r="B162"/>
      <c r="D162" s="3"/>
      <c r="F162" s="1"/>
      <c r="H162"/>
      <c r="J162"/>
      <c r="L162"/>
      <c r="N162" s="17" t="s">
        <v>302</v>
      </c>
    </row>
    <row r="163" spans="2:14" x14ac:dyDescent="0.25">
      <c r="B163"/>
      <c r="D163" s="3"/>
      <c r="F163" s="1"/>
      <c r="H163"/>
      <c r="J163"/>
      <c r="L163"/>
      <c r="N163" s="17" t="s">
        <v>199</v>
      </c>
    </row>
    <row r="164" spans="2:14" x14ac:dyDescent="0.25">
      <c r="B164"/>
      <c r="D164" s="3"/>
      <c r="F164" s="1"/>
      <c r="H164"/>
      <c r="J164"/>
      <c r="L164"/>
      <c r="N164" s="17" t="s">
        <v>433</v>
      </c>
    </row>
    <row r="165" spans="2:14" x14ac:dyDescent="0.25">
      <c r="B165"/>
      <c r="D165" s="3"/>
      <c r="F165" s="1"/>
      <c r="H165"/>
      <c r="J165"/>
      <c r="L165"/>
      <c r="N165" s="17" t="s">
        <v>250</v>
      </c>
    </row>
    <row r="166" spans="2:14" x14ac:dyDescent="0.25">
      <c r="B166"/>
      <c r="D166" s="3"/>
      <c r="F166" s="1"/>
      <c r="H166"/>
      <c r="J166"/>
      <c r="L166"/>
      <c r="N166" s="17" t="s">
        <v>320</v>
      </c>
    </row>
    <row r="167" spans="2:14" x14ac:dyDescent="0.25">
      <c r="B167"/>
      <c r="D167" s="3"/>
      <c r="F167" s="1"/>
      <c r="H167"/>
      <c r="J167"/>
      <c r="L167"/>
      <c r="N167" s="17" t="s">
        <v>655</v>
      </c>
    </row>
    <row r="168" spans="2:14" x14ac:dyDescent="0.25">
      <c r="B168"/>
      <c r="D168" s="3"/>
      <c r="F168" s="1"/>
      <c r="H168"/>
      <c r="J168"/>
      <c r="L168"/>
      <c r="N168" s="17" t="s">
        <v>165</v>
      </c>
    </row>
    <row r="169" spans="2:14" x14ac:dyDescent="0.25">
      <c r="B169"/>
      <c r="D169" s="3"/>
      <c r="F169" s="1"/>
      <c r="H169"/>
      <c r="J169"/>
      <c r="L169"/>
      <c r="N169" s="17" t="s">
        <v>152</v>
      </c>
    </row>
    <row r="170" spans="2:14" x14ac:dyDescent="0.25">
      <c r="B170"/>
      <c r="D170" s="3"/>
      <c r="F170" s="1"/>
      <c r="H170"/>
      <c r="J170"/>
      <c r="L170"/>
      <c r="N170" s="17" t="s">
        <v>308</v>
      </c>
    </row>
    <row r="171" spans="2:14" x14ac:dyDescent="0.25">
      <c r="B171"/>
      <c r="D171" s="3"/>
      <c r="F171" s="1"/>
      <c r="H171"/>
      <c r="J171"/>
      <c r="L171"/>
      <c r="N171" s="17" t="s">
        <v>354</v>
      </c>
    </row>
    <row r="172" spans="2:14" x14ac:dyDescent="0.25">
      <c r="B172"/>
      <c r="D172" s="3"/>
      <c r="F172" s="1"/>
      <c r="H172"/>
      <c r="J172"/>
      <c r="L172"/>
      <c r="N172" s="17" t="s">
        <v>68</v>
      </c>
    </row>
    <row r="173" spans="2:14" x14ac:dyDescent="0.25">
      <c r="B173"/>
      <c r="D173" s="3"/>
      <c r="F173" s="1"/>
      <c r="H173"/>
      <c r="J173"/>
      <c r="L173"/>
      <c r="N173" s="17" t="s">
        <v>47</v>
      </c>
    </row>
    <row r="174" spans="2:14" x14ac:dyDescent="0.25">
      <c r="B174"/>
      <c r="D174" s="3"/>
      <c r="F174" s="1"/>
      <c r="H174"/>
      <c r="J174"/>
      <c r="L174"/>
      <c r="N174" s="17" t="s">
        <v>251</v>
      </c>
    </row>
    <row r="175" spans="2:14" x14ac:dyDescent="0.25">
      <c r="B175"/>
      <c r="D175" s="3"/>
      <c r="F175" s="1"/>
      <c r="H175"/>
      <c r="J175"/>
      <c r="L175"/>
      <c r="N175" s="17" t="s">
        <v>421</v>
      </c>
    </row>
    <row r="176" spans="2:14" x14ac:dyDescent="0.25">
      <c r="B176"/>
      <c r="D176" s="3"/>
      <c r="F176" s="1"/>
      <c r="H176"/>
      <c r="J176"/>
      <c r="L176"/>
      <c r="N176" s="17" t="s">
        <v>279</v>
      </c>
    </row>
    <row r="177" spans="2:14" x14ac:dyDescent="0.25">
      <c r="B177"/>
      <c r="D177" s="3"/>
      <c r="F177" s="1"/>
      <c r="H177"/>
      <c r="J177"/>
      <c r="L177"/>
      <c r="N177" s="17" t="s">
        <v>161</v>
      </c>
    </row>
    <row r="178" spans="2:14" x14ac:dyDescent="0.25">
      <c r="B178"/>
      <c r="D178" s="3"/>
      <c r="F178" s="1"/>
      <c r="H178"/>
      <c r="J178"/>
      <c r="L178"/>
      <c r="N178" s="17" t="s">
        <v>277</v>
      </c>
    </row>
    <row r="179" spans="2:14" x14ac:dyDescent="0.25">
      <c r="B179"/>
      <c r="D179" s="3"/>
      <c r="F179" s="1"/>
      <c r="H179"/>
      <c r="J179"/>
      <c r="L179"/>
      <c r="N179" s="30" t="s">
        <v>415</v>
      </c>
    </row>
    <row r="180" spans="2:14" x14ac:dyDescent="0.25">
      <c r="B180"/>
      <c r="D180" s="3"/>
      <c r="F180" s="1"/>
      <c r="H180"/>
      <c r="J180"/>
      <c r="L180"/>
      <c r="N180"/>
    </row>
    <row r="181" spans="2:14" x14ac:dyDescent="0.25">
      <c r="B181"/>
      <c r="D181" s="3"/>
      <c r="F181" s="1"/>
      <c r="H181"/>
      <c r="J181"/>
      <c r="L181"/>
      <c r="N181"/>
    </row>
    <row r="182" spans="2:14" x14ac:dyDescent="0.25">
      <c r="B182"/>
      <c r="D182" s="3"/>
      <c r="F182" s="1"/>
      <c r="H182"/>
      <c r="J182"/>
      <c r="L182"/>
      <c r="N182"/>
    </row>
    <row r="183" spans="2:14" x14ac:dyDescent="0.25">
      <c r="B183"/>
      <c r="D183" s="3"/>
      <c r="F183" s="1"/>
      <c r="H183"/>
      <c r="J183"/>
      <c r="L183"/>
      <c r="N183"/>
    </row>
    <row r="184" spans="2:14" x14ac:dyDescent="0.25">
      <c r="B184"/>
      <c r="D184" s="3"/>
      <c r="F184" s="1"/>
      <c r="H184"/>
      <c r="J184"/>
      <c r="L184"/>
      <c r="N184"/>
    </row>
    <row r="185" spans="2:14" x14ac:dyDescent="0.25">
      <c r="B185"/>
      <c r="D185" s="3"/>
      <c r="F185" s="1"/>
      <c r="H185"/>
      <c r="J185"/>
      <c r="L185"/>
      <c r="N185"/>
    </row>
    <row r="186" spans="2:14" x14ac:dyDescent="0.25">
      <c r="B186"/>
      <c r="D186" s="3"/>
      <c r="F186" s="1"/>
      <c r="H186"/>
      <c r="J186"/>
      <c r="L186"/>
      <c r="N186"/>
    </row>
    <row r="187" spans="2:14" x14ac:dyDescent="0.25">
      <c r="B187"/>
      <c r="D187" s="3"/>
      <c r="F187" s="1"/>
      <c r="H187"/>
      <c r="J187"/>
      <c r="L187"/>
      <c r="N187"/>
    </row>
    <row r="188" spans="2:14" x14ac:dyDescent="0.25">
      <c r="B188"/>
      <c r="D188" s="3"/>
      <c r="F188" s="1"/>
      <c r="H188"/>
      <c r="J188"/>
      <c r="L188"/>
      <c r="N188"/>
    </row>
    <row r="189" spans="2:14" x14ac:dyDescent="0.25">
      <c r="B189"/>
      <c r="D189" s="3"/>
      <c r="F189" s="1"/>
      <c r="H189"/>
      <c r="J189"/>
      <c r="L189"/>
      <c r="N189"/>
    </row>
    <row r="190" spans="2:14" x14ac:dyDescent="0.25">
      <c r="B190"/>
      <c r="D190" s="3"/>
      <c r="F190" s="1"/>
      <c r="H190"/>
      <c r="J190"/>
      <c r="L190"/>
      <c r="N190"/>
    </row>
    <row r="191" spans="2:14" x14ac:dyDescent="0.25">
      <c r="B191"/>
      <c r="D191" s="3"/>
      <c r="F191" s="1"/>
      <c r="H191"/>
      <c r="J191"/>
      <c r="L191"/>
      <c r="N191"/>
    </row>
    <row r="192" spans="2:14" x14ac:dyDescent="0.25">
      <c r="B192"/>
      <c r="D192" s="3"/>
      <c r="F192" s="1"/>
      <c r="H192"/>
      <c r="J192"/>
      <c r="L192"/>
      <c r="N192"/>
    </row>
    <row r="193" spans="2:14" x14ac:dyDescent="0.25">
      <c r="B193"/>
      <c r="D193" s="3"/>
      <c r="F193" s="1"/>
      <c r="H193"/>
      <c r="J193"/>
      <c r="L193"/>
      <c r="N193"/>
    </row>
    <row r="194" spans="2:14" x14ac:dyDescent="0.25">
      <c r="B194"/>
      <c r="D194" s="3"/>
      <c r="F194" s="1"/>
      <c r="H194"/>
      <c r="J194"/>
      <c r="L194"/>
      <c r="N194"/>
    </row>
    <row r="195" spans="2:14" x14ac:dyDescent="0.25">
      <c r="B195"/>
      <c r="D195" s="3"/>
      <c r="F195" s="1"/>
      <c r="H195"/>
      <c r="J195"/>
      <c r="L195"/>
      <c r="N195"/>
    </row>
    <row r="196" spans="2:14" x14ac:dyDescent="0.25">
      <c r="B196"/>
      <c r="D196" s="3"/>
      <c r="F196" s="1"/>
      <c r="H196"/>
      <c r="J196"/>
      <c r="L196"/>
      <c r="N196"/>
    </row>
    <row r="197" spans="2:14" x14ac:dyDescent="0.25">
      <c r="B197"/>
      <c r="D197" s="3"/>
      <c r="F197" s="1"/>
      <c r="H197"/>
      <c r="J197"/>
      <c r="L197"/>
      <c r="N197"/>
    </row>
    <row r="198" spans="2:14" x14ac:dyDescent="0.25">
      <c r="B198"/>
      <c r="D198" s="3"/>
      <c r="F198" s="1"/>
      <c r="H198"/>
      <c r="J198"/>
      <c r="L198"/>
      <c r="N198"/>
    </row>
    <row r="199" spans="2:14" x14ac:dyDescent="0.25">
      <c r="B199"/>
      <c r="D199" s="3"/>
      <c r="F199" s="1"/>
      <c r="H199"/>
      <c r="J199"/>
      <c r="L199"/>
      <c r="N199"/>
    </row>
    <row r="200" spans="2:14" x14ac:dyDescent="0.25">
      <c r="B200"/>
      <c r="D200" s="3"/>
      <c r="F200" s="1"/>
      <c r="H200"/>
      <c r="J200"/>
      <c r="L200"/>
      <c r="N200"/>
    </row>
    <row r="201" spans="2:14" x14ac:dyDescent="0.25">
      <c r="B201"/>
      <c r="D201" s="3"/>
      <c r="F201" s="1"/>
      <c r="H201"/>
      <c r="J201"/>
      <c r="L201"/>
      <c r="N201"/>
    </row>
    <row r="202" spans="2:14" x14ac:dyDescent="0.25">
      <c r="B202"/>
      <c r="D202" s="3"/>
      <c r="F202" s="1"/>
      <c r="H202"/>
      <c r="J202"/>
      <c r="L202"/>
      <c r="N202"/>
    </row>
    <row r="203" spans="2:14" x14ac:dyDescent="0.25">
      <c r="B203"/>
      <c r="D203" s="3"/>
      <c r="F203" s="1"/>
      <c r="H203"/>
      <c r="J203"/>
      <c r="L203"/>
      <c r="N203"/>
    </row>
    <row r="204" spans="2:14" x14ac:dyDescent="0.25">
      <c r="B204"/>
      <c r="D204" s="3"/>
      <c r="F204" s="1"/>
      <c r="H204"/>
      <c r="J204"/>
      <c r="L204"/>
      <c r="N204"/>
    </row>
    <row r="205" spans="2:14" x14ac:dyDescent="0.25">
      <c r="B205"/>
      <c r="D205" s="3"/>
      <c r="F205" s="1"/>
      <c r="H205"/>
      <c r="J205"/>
      <c r="L205"/>
      <c r="N205"/>
    </row>
    <row r="206" spans="2:14" x14ac:dyDescent="0.25">
      <c r="B206"/>
      <c r="D206" s="3"/>
      <c r="F206" s="1"/>
      <c r="H206"/>
      <c r="J206"/>
      <c r="L206"/>
      <c r="N206"/>
    </row>
    <row r="207" spans="2:14" x14ac:dyDescent="0.25">
      <c r="B207"/>
      <c r="D207" s="3"/>
      <c r="F207" s="1"/>
      <c r="H207"/>
      <c r="J207"/>
      <c r="L207"/>
      <c r="N207"/>
    </row>
    <row r="208" spans="2:14" x14ac:dyDescent="0.25">
      <c r="B208"/>
      <c r="D208" s="3"/>
      <c r="F208" s="1"/>
      <c r="H208"/>
      <c r="J208"/>
      <c r="L208"/>
      <c r="N208"/>
    </row>
    <row r="209" spans="2:14" x14ac:dyDescent="0.25">
      <c r="B209"/>
      <c r="D209" s="3"/>
      <c r="F209" s="1"/>
      <c r="H209"/>
      <c r="J209"/>
      <c r="L209"/>
      <c r="N209"/>
    </row>
    <row r="210" spans="2:14" x14ac:dyDescent="0.25">
      <c r="B210"/>
      <c r="D210" s="3"/>
      <c r="F210" s="1"/>
      <c r="H210"/>
      <c r="J210"/>
      <c r="L210"/>
      <c r="N210"/>
    </row>
    <row r="211" spans="2:14" x14ac:dyDescent="0.25">
      <c r="B211"/>
      <c r="D211" s="3"/>
      <c r="F211" s="1"/>
      <c r="H211"/>
      <c r="J211"/>
      <c r="L211"/>
      <c r="N211"/>
    </row>
    <row r="212" spans="2:14" x14ac:dyDescent="0.25">
      <c r="B212"/>
      <c r="D212" s="3"/>
      <c r="F212" s="1"/>
      <c r="H212"/>
      <c r="J212"/>
      <c r="L212"/>
      <c r="N212"/>
    </row>
    <row r="213" spans="2:14" x14ac:dyDescent="0.25">
      <c r="B213"/>
      <c r="D213" s="3"/>
      <c r="F213" s="1"/>
      <c r="H213"/>
      <c r="J213"/>
      <c r="L213"/>
      <c r="N213"/>
    </row>
    <row r="214" spans="2:14" x14ac:dyDescent="0.25">
      <c r="B214"/>
      <c r="D214" s="3"/>
      <c r="F214" s="1"/>
      <c r="H214"/>
      <c r="J214"/>
      <c r="L214"/>
      <c r="N214"/>
    </row>
    <row r="215" spans="2:14" x14ac:dyDescent="0.25">
      <c r="B215"/>
      <c r="D215" s="3"/>
      <c r="F215" s="1"/>
      <c r="H215"/>
      <c r="J215"/>
      <c r="L215"/>
      <c r="N215"/>
    </row>
    <row r="216" spans="2:14" x14ac:dyDescent="0.25">
      <c r="B216"/>
      <c r="D216" s="3"/>
      <c r="F216" s="1"/>
      <c r="H216"/>
      <c r="J216"/>
      <c r="L216"/>
      <c r="N216"/>
    </row>
    <row r="217" spans="2:14" x14ac:dyDescent="0.25">
      <c r="B217"/>
      <c r="D217" s="3"/>
      <c r="F217" s="1"/>
      <c r="H217"/>
      <c r="J217"/>
      <c r="L217"/>
      <c r="N217"/>
    </row>
    <row r="218" spans="2:14" x14ac:dyDescent="0.25">
      <c r="B218"/>
      <c r="D218" s="3"/>
      <c r="F218" s="1"/>
      <c r="H218"/>
      <c r="J218"/>
      <c r="L218"/>
      <c r="N218"/>
    </row>
    <row r="219" spans="2:14" x14ac:dyDescent="0.25">
      <c r="B219"/>
      <c r="D219" s="3"/>
      <c r="F219" s="1"/>
      <c r="H219"/>
      <c r="J219"/>
      <c r="L219"/>
      <c r="N219"/>
    </row>
    <row r="220" spans="2:14" x14ac:dyDescent="0.25">
      <c r="B220"/>
      <c r="D220" s="3"/>
      <c r="F220" s="1"/>
      <c r="H220"/>
      <c r="J220"/>
      <c r="L220"/>
      <c r="N220"/>
    </row>
    <row r="221" spans="2:14" x14ac:dyDescent="0.25">
      <c r="B221"/>
      <c r="D221" s="3"/>
      <c r="F221" s="1"/>
      <c r="H221"/>
      <c r="J221"/>
      <c r="L221"/>
      <c r="N221"/>
    </row>
    <row r="222" spans="2:14" x14ac:dyDescent="0.25">
      <c r="B222"/>
      <c r="D222" s="3"/>
      <c r="F222" s="1"/>
      <c r="H222"/>
      <c r="J222"/>
      <c r="L222"/>
      <c r="N222"/>
    </row>
    <row r="223" spans="2:14" x14ac:dyDescent="0.25">
      <c r="B223"/>
      <c r="D223" s="3"/>
      <c r="F223" s="1"/>
      <c r="H223"/>
      <c r="J223"/>
      <c r="L223"/>
      <c r="N223"/>
    </row>
    <row r="224" spans="2:14" x14ac:dyDescent="0.25">
      <c r="B224"/>
      <c r="D224" s="3"/>
      <c r="F224" s="1"/>
      <c r="H224"/>
      <c r="J224"/>
      <c r="L224"/>
      <c r="N224"/>
    </row>
    <row r="225" spans="2:14" x14ac:dyDescent="0.25">
      <c r="B225"/>
      <c r="D225" s="3"/>
      <c r="F225" s="1"/>
      <c r="H225"/>
      <c r="J225"/>
      <c r="L225"/>
      <c r="N225"/>
    </row>
    <row r="226" spans="2:14" x14ac:dyDescent="0.25">
      <c r="B226"/>
      <c r="D226" s="3"/>
      <c r="F226" s="1"/>
      <c r="H226"/>
      <c r="J226"/>
      <c r="L226"/>
      <c r="N226"/>
    </row>
    <row r="227" spans="2:14" x14ac:dyDescent="0.25">
      <c r="B227"/>
      <c r="D227" s="3"/>
      <c r="F227" s="1"/>
      <c r="H227"/>
      <c r="J227"/>
      <c r="L227"/>
      <c r="N227"/>
    </row>
    <row r="228" spans="2:14" x14ac:dyDescent="0.25">
      <c r="B228"/>
      <c r="D228" s="3"/>
      <c r="F228" s="1"/>
      <c r="H228"/>
      <c r="J228"/>
      <c r="L228"/>
      <c r="N228"/>
    </row>
    <row r="229" spans="2:14" x14ac:dyDescent="0.25">
      <c r="B229"/>
      <c r="D229" s="3"/>
      <c r="F229" s="1"/>
      <c r="H229"/>
      <c r="J229"/>
      <c r="L229"/>
      <c r="N229"/>
    </row>
    <row r="230" spans="2:14" x14ac:dyDescent="0.25">
      <c r="B230"/>
      <c r="D230" s="3"/>
      <c r="F230" s="1"/>
      <c r="H230"/>
      <c r="J230"/>
      <c r="L230"/>
      <c r="N230"/>
    </row>
    <row r="231" spans="2:14" x14ac:dyDescent="0.25">
      <c r="B231"/>
      <c r="D231" s="3"/>
      <c r="F231" s="1"/>
      <c r="H231"/>
      <c r="J231"/>
      <c r="L231"/>
      <c r="N231"/>
    </row>
    <row r="232" spans="2:14" x14ac:dyDescent="0.25">
      <c r="B232"/>
      <c r="D232" s="3"/>
      <c r="F232" s="1"/>
      <c r="H232"/>
      <c r="J232"/>
      <c r="L232"/>
      <c r="N232"/>
    </row>
    <row r="233" spans="2:14" x14ac:dyDescent="0.25">
      <c r="B233"/>
      <c r="D233" s="3"/>
      <c r="F233" s="1"/>
      <c r="H233"/>
      <c r="J233"/>
      <c r="L233"/>
      <c r="N233"/>
    </row>
    <row r="234" spans="2:14" x14ac:dyDescent="0.25">
      <c r="B234"/>
      <c r="D234" s="3"/>
      <c r="F234" s="1"/>
      <c r="H234"/>
      <c r="J234"/>
      <c r="L234"/>
      <c r="N234"/>
    </row>
    <row r="235" spans="2:14" x14ac:dyDescent="0.25">
      <c r="B235"/>
      <c r="D235" s="3"/>
      <c r="F235" s="1"/>
      <c r="H235"/>
      <c r="J235"/>
      <c r="L235"/>
      <c r="N235"/>
    </row>
    <row r="236" spans="2:14" x14ac:dyDescent="0.25">
      <c r="B236"/>
      <c r="D236" s="3"/>
      <c r="F236" s="1"/>
      <c r="H236"/>
      <c r="J236"/>
      <c r="L236"/>
      <c r="N236"/>
    </row>
    <row r="237" spans="2:14" x14ac:dyDescent="0.25">
      <c r="B237"/>
      <c r="D237" s="3"/>
      <c r="F237" s="1"/>
      <c r="H237"/>
      <c r="J237"/>
      <c r="L237"/>
      <c r="N237"/>
    </row>
    <row r="238" spans="2:14" x14ac:dyDescent="0.25">
      <c r="B238"/>
      <c r="D238" s="3"/>
      <c r="F238" s="1"/>
      <c r="H238"/>
      <c r="J238"/>
      <c r="L238"/>
      <c r="N238"/>
    </row>
    <row r="239" spans="2:14" x14ac:dyDescent="0.25">
      <c r="B239"/>
      <c r="D239" s="3"/>
      <c r="F239" s="1"/>
      <c r="H239"/>
      <c r="J239"/>
      <c r="L239"/>
      <c r="N239"/>
    </row>
    <row r="240" spans="2:14" x14ac:dyDescent="0.25">
      <c r="B240"/>
      <c r="D240" s="3"/>
      <c r="F240" s="1"/>
      <c r="H240"/>
      <c r="J240"/>
      <c r="L240"/>
      <c r="N240"/>
    </row>
    <row r="241" spans="2:14" x14ac:dyDescent="0.25">
      <c r="B241"/>
      <c r="D241" s="3"/>
      <c r="F241" s="1"/>
      <c r="H241"/>
      <c r="J241"/>
      <c r="L241"/>
      <c r="N241"/>
    </row>
    <row r="242" spans="2:14" x14ac:dyDescent="0.25">
      <c r="B242"/>
      <c r="D242" s="3"/>
      <c r="F242" s="1"/>
      <c r="H242"/>
      <c r="J242"/>
      <c r="L242"/>
      <c r="N242"/>
    </row>
    <row r="243" spans="2:14" x14ac:dyDescent="0.25">
      <c r="B243"/>
      <c r="D243" s="3"/>
      <c r="F243" s="1"/>
      <c r="H243"/>
      <c r="J243"/>
      <c r="L243"/>
      <c r="N243"/>
    </row>
    <row r="244" spans="2:14" x14ac:dyDescent="0.25">
      <c r="B244"/>
      <c r="D244" s="3"/>
      <c r="F244" s="1"/>
      <c r="H244"/>
      <c r="J244"/>
      <c r="L244"/>
      <c r="N244"/>
    </row>
    <row r="245" spans="2:14" x14ac:dyDescent="0.25">
      <c r="B245"/>
      <c r="D245" s="3"/>
      <c r="F245" s="1"/>
      <c r="H245"/>
      <c r="J245"/>
      <c r="L245"/>
      <c r="N245"/>
    </row>
    <row r="246" spans="2:14" x14ac:dyDescent="0.25">
      <c r="B246"/>
      <c r="D246" s="3"/>
      <c r="F246" s="1"/>
      <c r="H246"/>
      <c r="J246"/>
      <c r="L246"/>
      <c r="N246"/>
    </row>
    <row r="247" spans="2:14" x14ac:dyDescent="0.25">
      <c r="B247"/>
      <c r="D247" s="3"/>
      <c r="F247" s="1"/>
      <c r="H247"/>
      <c r="J247"/>
      <c r="L247"/>
      <c r="N247"/>
    </row>
    <row r="248" spans="2:14" x14ac:dyDescent="0.25">
      <c r="B248"/>
      <c r="D248" s="3"/>
      <c r="F248" s="1"/>
      <c r="H248"/>
      <c r="J248"/>
      <c r="L248"/>
      <c r="N248"/>
    </row>
    <row r="249" spans="2:14" x14ac:dyDescent="0.25">
      <c r="B249"/>
      <c r="D249" s="3"/>
      <c r="F249" s="1"/>
      <c r="H249"/>
      <c r="J249"/>
      <c r="L249"/>
      <c r="N249"/>
    </row>
    <row r="250" spans="2:14" x14ac:dyDescent="0.25">
      <c r="B250"/>
      <c r="D250" s="3"/>
      <c r="F250" s="1"/>
      <c r="H250"/>
      <c r="J250"/>
      <c r="L250"/>
      <c r="N250"/>
    </row>
    <row r="251" spans="2:14" x14ac:dyDescent="0.25">
      <c r="B251"/>
      <c r="D251" s="3"/>
      <c r="F251" s="1"/>
      <c r="H251"/>
      <c r="J251"/>
      <c r="L251"/>
      <c r="N251"/>
    </row>
    <row r="252" spans="2:14" x14ac:dyDescent="0.25">
      <c r="B252"/>
      <c r="D252" s="3"/>
      <c r="F252" s="1"/>
      <c r="H252"/>
      <c r="J252"/>
      <c r="L252"/>
      <c r="N252"/>
    </row>
    <row r="253" spans="2:14" x14ac:dyDescent="0.25">
      <c r="B253"/>
      <c r="D253" s="3"/>
      <c r="F253" s="1"/>
      <c r="H253"/>
      <c r="J253"/>
      <c r="L253"/>
      <c r="N253"/>
    </row>
    <row r="254" spans="2:14" x14ac:dyDescent="0.25">
      <c r="B254"/>
      <c r="D254" s="3"/>
      <c r="F254" s="1"/>
      <c r="H254"/>
      <c r="J254"/>
      <c r="L254"/>
      <c r="N254"/>
    </row>
    <row r="255" spans="2:14" x14ac:dyDescent="0.25">
      <c r="B255"/>
      <c r="D255" s="3"/>
      <c r="F255" s="1"/>
      <c r="H255"/>
      <c r="J255"/>
      <c r="L255"/>
      <c r="N255"/>
    </row>
    <row r="256" spans="2:14" x14ac:dyDescent="0.25">
      <c r="B256"/>
      <c r="D256" s="3"/>
      <c r="F256" s="1"/>
      <c r="H256"/>
      <c r="J256"/>
      <c r="L256"/>
      <c r="N256"/>
    </row>
    <row r="257" spans="2:14" x14ac:dyDescent="0.25">
      <c r="B257"/>
      <c r="D257" s="3"/>
      <c r="F257" s="1"/>
      <c r="H257"/>
      <c r="J257"/>
      <c r="L257"/>
      <c r="N257"/>
    </row>
    <row r="258" spans="2:14" x14ac:dyDescent="0.25">
      <c r="B258"/>
      <c r="D258" s="3"/>
      <c r="F258" s="1"/>
      <c r="H258"/>
      <c r="J258"/>
      <c r="L258"/>
      <c r="N258"/>
    </row>
    <row r="259" spans="2:14" x14ac:dyDescent="0.25">
      <c r="B259"/>
      <c r="D259" s="3"/>
      <c r="F259" s="1"/>
      <c r="H259"/>
      <c r="J259"/>
      <c r="L259"/>
      <c r="N259"/>
    </row>
    <row r="260" spans="2:14" x14ac:dyDescent="0.25">
      <c r="B260"/>
      <c r="D260" s="3"/>
      <c r="F260" s="1"/>
      <c r="H260"/>
      <c r="J260"/>
      <c r="L260"/>
      <c r="N260"/>
    </row>
    <row r="261" spans="2:14" x14ac:dyDescent="0.25">
      <c r="B261"/>
      <c r="D261" s="3"/>
      <c r="F261" s="1"/>
      <c r="H261"/>
      <c r="J261"/>
      <c r="L261"/>
      <c r="N261"/>
    </row>
    <row r="262" spans="2:14" x14ac:dyDescent="0.25">
      <c r="B262"/>
      <c r="D262" s="3"/>
      <c r="F262" s="1"/>
      <c r="H262"/>
      <c r="J262"/>
      <c r="L262"/>
      <c r="N262"/>
    </row>
    <row r="263" spans="2:14" x14ac:dyDescent="0.25">
      <c r="B263"/>
      <c r="D263" s="3"/>
      <c r="F263" s="1"/>
      <c r="H263"/>
      <c r="J263"/>
      <c r="L263"/>
      <c r="N263"/>
    </row>
    <row r="264" spans="2:14" x14ac:dyDescent="0.25">
      <c r="B264"/>
      <c r="D264" s="3"/>
      <c r="F264" s="1"/>
      <c r="H264"/>
      <c r="J264"/>
      <c r="L264"/>
      <c r="N264"/>
    </row>
    <row r="265" spans="2:14" x14ac:dyDescent="0.25">
      <c r="B265"/>
      <c r="D265" s="3"/>
      <c r="F265" s="1"/>
      <c r="H265"/>
      <c r="J265"/>
      <c r="L265"/>
      <c r="N265"/>
    </row>
    <row r="266" spans="2:14" x14ac:dyDescent="0.25">
      <c r="B266"/>
      <c r="D266" s="3"/>
      <c r="F266" s="1"/>
      <c r="H266"/>
      <c r="J266"/>
      <c r="L266"/>
      <c r="N266"/>
    </row>
    <row r="267" spans="2:14" x14ac:dyDescent="0.25">
      <c r="B267"/>
      <c r="D267" s="3"/>
      <c r="F267" s="1"/>
      <c r="H267"/>
      <c r="J267"/>
      <c r="L267"/>
      <c r="N267"/>
    </row>
    <row r="268" spans="2:14" x14ac:dyDescent="0.25">
      <c r="B268"/>
      <c r="D268" s="3"/>
      <c r="F268" s="1"/>
      <c r="H268"/>
      <c r="J268"/>
      <c r="L268"/>
      <c r="N268"/>
    </row>
    <row r="269" spans="2:14" x14ac:dyDescent="0.25">
      <c r="B269"/>
      <c r="D269" s="3"/>
      <c r="F269" s="1"/>
      <c r="H269"/>
      <c r="J269"/>
      <c r="L269"/>
      <c r="N269"/>
    </row>
    <row r="270" spans="2:14" x14ac:dyDescent="0.25">
      <c r="B270"/>
      <c r="D270" s="3"/>
      <c r="F270" s="1"/>
      <c r="H270"/>
      <c r="J270"/>
      <c r="L270"/>
      <c r="N270"/>
    </row>
    <row r="271" spans="2:14" x14ac:dyDescent="0.25">
      <c r="B271"/>
      <c r="D271" s="3"/>
      <c r="F271" s="1"/>
      <c r="H271"/>
      <c r="J271"/>
      <c r="L271"/>
      <c r="N271"/>
    </row>
    <row r="272" spans="2:14" x14ac:dyDescent="0.25">
      <c r="B272"/>
      <c r="D272" s="3"/>
      <c r="F272" s="1"/>
      <c r="H272"/>
      <c r="J272"/>
      <c r="L272"/>
      <c r="N272"/>
    </row>
    <row r="273" spans="2:14" x14ac:dyDescent="0.25">
      <c r="B273"/>
      <c r="D273" s="3"/>
      <c r="F273" s="1"/>
      <c r="H273"/>
      <c r="J273"/>
      <c r="L273"/>
      <c r="N273"/>
    </row>
    <row r="274" spans="2:14" x14ac:dyDescent="0.25">
      <c r="B274"/>
      <c r="D274" s="3"/>
      <c r="F274" s="1"/>
      <c r="H274"/>
      <c r="J274"/>
      <c r="L274"/>
      <c r="N274"/>
    </row>
    <row r="275" spans="2:14" x14ac:dyDescent="0.25">
      <c r="B275"/>
      <c r="D275" s="3"/>
      <c r="F275" s="1"/>
      <c r="H275"/>
      <c r="J275"/>
      <c r="L275"/>
      <c r="N275"/>
    </row>
    <row r="276" spans="2:14" x14ac:dyDescent="0.25">
      <c r="B276"/>
      <c r="D276" s="3"/>
      <c r="F276" s="1"/>
      <c r="H276"/>
      <c r="J276"/>
      <c r="L276"/>
      <c r="N276"/>
    </row>
    <row r="277" spans="2:14" x14ac:dyDescent="0.25">
      <c r="B277"/>
      <c r="D277" s="3"/>
      <c r="F277" s="1"/>
      <c r="H277"/>
      <c r="J277"/>
      <c r="L277"/>
      <c r="N277"/>
    </row>
    <row r="278" spans="2:14" x14ac:dyDescent="0.25">
      <c r="B278"/>
      <c r="D278" s="3"/>
      <c r="F278" s="1"/>
      <c r="H278"/>
      <c r="J278"/>
      <c r="L278"/>
      <c r="N278"/>
    </row>
    <row r="279" spans="2:14" x14ac:dyDescent="0.25">
      <c r="B279"/>
      <c r="D279" s="3"/>
      <c r="F279" s="1"/>
      <c r="H279"/>
      <c r="J279"/>
      <c r="L279"/>
      <c r="N279"/>
    </row>
    <row r="280" spans="2:14" x14ac:dyDescent="0.25">
      <c r="B280"/>
      <c r="D280" s="3"/>
      <c r="F280" s="1"/>
      <c r="H280"/>
      <c r="J280"/>
      <c r="L280"/>
      <c r="N280"/>
    </row>
    <row r="281" spans="2:14" x14ac:dyDescent="0.25">
      <c r="B281"/>
      <c r="D281" s="3"/>
      <c r="F281" s="1"/>
      <c r="H281"/>
      <c r="J281"/>
      <c r="L281"/>
      <c r="N281"/>
    </row>
    <row r="282" spans="2:14" x14ac:dyDescent="0.25">
      <c r="B282"/>
      <c r="D282" s="3"/>
      <c r="F282" s="1"/>
      <c r="H282"/>
      <c r="J282"/>
      <c r="L282"/>
      <c r="N282"/>
    </row>
    <row r="283" spans="2:14" x14ac:dyDescent="0.25">
      <c r="B283"/>
      <c r="D283" s="3"/>
      <c r="F283" s="1"/>
      <c r="H283"/>
      <c r="J283"/>
      <c r="L283"/>
      <c r="N283"/>
    </row>
    <row r="284" spans="2:14" x14ac:dyDescent="0.25">
      <c r="B284"/>
      <c r="D284" s="3"/>
      <c r="F284" s="1"/>
      <c r="H284"/>
      <c r="J284"/>
      <c r="L284"/>
      <c r="N284"/>
    </row>
    <row r="285" spans="2:14" x14ac:dyDescent="0.25">
      <c r="B285"/>
      <c r="D285" s="3"/>
      <c r="F285" s="1"/>
      <c r="H285"/>
      <c r="J285"/>
      <c r="L285"/>
      <c r="N285"/>
    </row>
    <row r="286" spans="2:14" x14ac:dyDescent="0.25">
      <c r="B286"/>
      <c r="D286" s="3"/>
      <c r="F286" s="1"/>
      <c r="H286"/>
      <c r="J286"/>
      <c r="L286"/>
      <c r="N286"/>
    </row>
    <row r="287" spans="2:14" x14ac:dyDescent="0.25">
      <c r="B287"/>
      <c r="D287" s="3"/>
      <c r="F287" s="1"/>
      <c r="H287"/>
      <c r="J287"/>
      <c r="L287"/>
      <c r="N287"/>
    </row>
    <row r="288" spans="2:14" x14ac:dyDescent="0.25">
      <c r="B288"/>
      <c r="D288" s="3"/>
      <c r="F288" s="1"/>
      <c r="H288"/>
      <c r="J288"/>
      <c r="L288"/>
      <c r="N288"/>
    </row>
    <row r="289" spans="2:14" x14ac:dyDescent="0.25">
      <c r="B289"/>
      <c r="D289" s="3"/>
      <c r="F289" s="1"/>
      <c r="H289"/>
      <c r="J289"/>
      <c r="L289"/>
      <c r="N289"/>
    </row>
    <row r="290" spans="2:14" x14ac:dyDescent="0.25">
      <c r="B290"/>
      <c r="D290" s="3"/>
      <c r="F290" s="1"/>
      <c r="H290"/>
      <c r="J290"/>
      <c r="L290"/>
      <c r="N290"/>
    </row>
    <row r="291" spans="2:14" x14ac:dyDescent="0.25">
      <c r="B291"/>
      <c r="D291" s="3"/>
      <c r="F291" s="1"/>
      <c r="H291"/>
      <c r="J291"/>
      <c r="L291"/>
      <c r="N291"/>
    </row>
    <row r="292" spans="2:14" x14ac:dyDescent="0.25">
      <c r="B292"/>
      <c r="D292" s="3"/>
      <c r="F292" s="1"/>
      <c r="H292"/>
      <c r="J292"/>
      <c r="L292"/>
      <c r="N292"/>
    </row>
    <row r="293" spans="2:14" x14ac:dyDescent="0.25">
      <c r="B293"/>
      <c r="D293" s="3"/>
      <c r="F293" s="1"/>
      <c r="H293"/>
      <c r="J293"/>
      <c r="L293"/>
      <c r="N293"/>
    </row>
    <row r="294" spans="2:14" x14ac:dyDescent="0.25">
      <c r="B294"/>
      <c r="D294" s="3"/>
      <c r="F294" s="1"/>
      <c r="H294"/>
      <c r="J294"/>
      <c r="L294"/>
      <c r="N294"/>
    </row>
    <row r="295" spans="2:14" x14ac:dyDescent="0.25">
      <c r="B295"/>
      <c r="D295" s="3"/>
      <c r="F295" s="1"/>
      <c r="H295"/>
      <c r="J295"/>
      <c r="L295"/>
      <c r="N295"/>
    </row>
    <row r="296" spans="2:14" x14ac:dyDescent="0.25">
      <c r="B296"/>
      <c r="D296" s="3"/>
      <c r="F296" s="1"/>
      <c r="H296"/>
      <c r="J296"/>
      <c r="L296"/>
      <c r="N296"/>
    </row>
    <row r="297" spans="2:14" x14ac:dyDescent="0.25">
      <c r="B297"/>
      <c r="D297" s="3"/>
      <c r="F297" s="1"/>
      <c r="H297"/>
      <c r="J297"/>
      <c r="L297"/>
      <c r="N297"/>
    </row>
    <row r="298" spans="2:14" x14ac:dyDescent="0.25">
      <c r="B298"/>
      <c r="D298" s="3"/>
      <c r="F298" s="1"/>
      <c r="H298"/>
      <c r="J298"/>
      <c r="L298"/>
      <c r="N298"/>
    </row>
    <row r="299" spans="2:14" x14ac:dyDescent="0.25">
      <c r="B299"/>
      <c r="D299" s="3"/>
      <c r="F299" s="1"/>
      <c r="H299"/>
      <c r="J299"/>
      <c r="L299"/>
      <c r="N299"/>
    </row>
    <row r="300" spans="2:14" x14ac:dyDescent="0.25">
      <c r="B300"/>
      <c r="D300" s="3"/>
      <c r="F300" s="1"/>
      <c r="H300"/>
      <c r="J300"/>
      <c r="L300"/>
      <c r="N300"/>
    </row>
    <row r="301" spans="2:14" x14ac:dyDescent="0.25">
      <c r="B301"/>
      <c r="D301" s="3"/>
      <c r="F301" s="1"/>
      <c r="H301"/>
      <c r="J301"/>
      <c r="L301"/>
      <c r="N301"/>
    </row>
    <row r="302" spans="2:14" x14ac:dyDescent="0.25">
      <c r="B302"/>
      <c r="D302" s="3"/>
      <c r="F302" s="1"/>
      <c r="H302"/>
      <c r="J302"/>
      <c r="L302"/>
      <c r="N302"/>
    </row>
    <row r="303" spans="2:14" x14ac:dyDescent="0.25">
      <c r="B303"/>
      <c r="D303" s="3"/>
      <c r="F303" s="1"/>
      <c r="H303"/>
      <c r="J303"/>
      <c r="L303"/>
      <c r="N303"/>
    </row>
    <row r="304" spans="2:14" x14ac:dyDescent="0.25">
      <c r="B304"/>
      <c r="D304" s="3"/>
      <c r="F304" s="1"/>
      <c r="H304"/>
      <c r="J304"/>
      <c r="L304"/>
      <c r="N304"/>
    </row>
    <row r="305" spans="2:14" x14ac:dyDescent="0.25">
      <c r="B305"/>
      <c r="D305" s="3"/>
      <c r="F305" s="1"/>
      <c r="H305"/>
      <c r="J305"/>
      <c r="L305"/>
      <c r="N305"/>
    </row>
    <row r="306" spans="2:14" x14ac:dyDescent="0.25">
      <c r="B306"/>
      <c r="D306" s="3"/>
      <c r="F306" s="1"/>
      <c r="H306"/>
      <c r="J306"/>
      <c r="L306"/>
      <c r="N306"/>
    </row>
    <row r="307" spans="2:14" x14ac:dyDescent="0.25">
      <c r="B307"/>
      <c r="D307" s="3"/>
      <c r="F307" s="1"/>
      <c r="H307"/>
      <c r="J307"/>
      <c r="L307"/>
      <c r="N307"/>
    </row>
    <row r="308" spans="2:14" x14ac:dyDescent="0.25">
      <c r="B308"/>
      <c r="D308" s="3"/>
      <c r="F308" s="1"/>
      <c r="H308"/>
      <c r="J308"/>
      <c r="L308"/>
      <c r="N308"/>
    </row>
    <row r="309" spans="2:14" x14ac:dyDescent="0.25">
      <c r="B309"/>
      <c r="D309" s="3"/>
      <c r="F309" s="1"/>
      <c r="H309"/>
      <c r="J309"/>
      <c r="L309"/>
      <c r="N309"/>
    </row>
    <row r="310" spans="2:14" x14ac:dyDescent="0.25">
      <c r="B310"/>
      <c r="D310" s="3"/>
      <c r="F310" s="1"/>
      <c r="H310"/>
      <c r="J310"/>
      <c r="L310"/>
      <c r="N310"/>
    </row>
    <row r="311" spans="2:14" x14ac:dyDescent="0.25">
      <c r="B311"/>
      <c r="D311" s="3"/>
      <c r="F311" s="1"/>
      <c r="H311"/>
      <c r="J311"/>
      <c r="L311"/>
      <c r="N311"/>
    </row>
    <row r="312" spans="2:14" x14ac:dyDescent="0.25">
      <c r="B312"/>
      <c r="D312" s="3"/>
      <c r="F312" s="1"/>
      <c r="H312"/>
      <c r="J312"/>
      <c r="L312"/>
      <c r="N312"/>
    </row>
    <row r="313" spans="2:14" x14ac:dyDescent="0.25">
      <c r="B313"/>
      <c r="D313" s="3"/>
      <c r="F313" s="1"/>
      <c r="H313"/>
      <c r="J313"/>
      <c r="L313"/>
      <c r="N313"/>
    </row>
    <row r="314" spans="2:14" x14ac:dyDescent="0.25">
      <c r="B314"/>
      <c r="D314" s="3"/>
      <c r="F314" s="1"/>
      <c r="H314"/>
      <c r="J314"/>
      <c r="L314"/>
      <c r="N314"/>
    </row>
    <row r="315" spans="2:14" x14ac:dyDescent="0.25">
      <c r="B315"/>
      <c r="D315" s="3"/>
      <c r="F315" s="1"/>
      <c r="H315"/>
      <c r="J315"/>
      <c r="L315"/>
      <c r="N315"/>
    </row>
    <row r="316" spans="2:14" x14ac:dyDescent="0.25">
      <c r="B316"/>
      <c r="D316" s="3"/>
      <c r="F316" s="1"/>
      <c r="H316"/>
      <c r="J316"/>
      <c r="L316"/>
      <c r="N316"/>
    </row>
    <row r="317" spans="2:14" x14ac:dyDescent="0.25">
      <c r="B317"/>
      <c r="D317" s="3"/>
      <c r="F317" s="1"/>
      <c r="H317"/>
      <c r="J317"/>
      <c r="L317"/>
      <c r="N317"/>
    </row>
    <row r="318" spans="2:14" x14ac:dyDescent="0.25">
      <c r="B318"/>
      <c r="D318" s="3"/>
      <c r="F318" s="1"/>
      <c r="H318"/>
      <c r="J318"/>
      <c r="L318"/>
      <c r="N318"/>
    </row>
    <row r="319" spans="2:14" x14ac:dyDescent="0.25">
      <c r="B319"/>
      <c r="D319" s="3"/>
      <c r="F319" s="1"/>
      <c r="H319"/>
      <c r="J319"/>
      <c r="L319"/>
      <c r="N319"/>
    </row>
    <row r="320" spans="2:14" x14ac:dyDescent="0.25">
      <c r="B320"/>
      <c r="D320" s="3"/>
      <c r="F320" s="1"/>
      <c r="H320"/>
      <c r="J320"/>
      <c r="L320"/>
      <c r="N320"/>
    </row>
    <row r="321" spans="2:14" x14ac:dyDescent="0.25">
      <c r="B321"/>
      <c r="D321" s="3"/>
      <c r="F321" s="1"/>
      <c r="H321"/>
      <c r="J321"/>
      <c r="L321"/>
      <c r="N321"/>
    </row>
    <row r="322" spans="2:14" x14ac:dyDescent="0.25">
      <c r="B322"/>
      <c r="D322" s="3"/>
      <c r="F322" s="1"/>
      <c r="H322"/>
      <c r="J322"/>
      <c r="L322"/>
      <c r="N322"/>
    </row>
    <row r="323" spans="2:14" x14ac:dyDescent="0.25">
      <c r="B323"/>
      <c r="D323" s="3"/>
      <c r="F323" s="1"/>
      <c r="H323"/>
      <c r="J323"/>
      <c r="L323"/>
      <c r="N323"/>
    </row>
    <row r="324" spans="2:14" x14ac:dyDescent="0.25">
      <c r="B324"/>
      <c r="D324" s="3"/>
      <c r="F324" s="1"/>
      <c r="H324"/>
      <c r="J324"/>
      <c r="L324"/>
      <c r="N324"/>
    </row>
    <row r="325" spans="2:14" x14ac:dyDescent="0.25">
      <c r="B325"/>
      <c r="D325" s="3"/>
      <c r="F325" s="1"/>
      <c r="H325"/>
      <c r="J325"/>
      <c r="L325"/>
      <c r="N325"/>
    </row>
    <row r="326" spans="2:14" x14ac:dyDescent="0.25">
      <c r="B326"/>
      <c r="D326" s="3"/>
      <c r="F326" s="1"/>
      <c r="H326"/>
      <c r="J326"/>
      <c r="L326"/>
      <c r="N326"/>
    </row>
    <row r="327" spans="2:14" x14ac:dyDescent="0.25">
      <c r="B327"/>
      <c r="D327" s="3"/>
      <c r="F327" s="1"/>
      <c r="H327"/>
      <c r="J327"/>
      <c r="L327"/>
      <c r="N327"/>
    </row>
    <row r="328" spans="2:14" x14ac:dyDescent="0.25">
      <c r="B328"/>
      <c r="D328" s="3"/>
      <c r="F328" s="1"/>
      <c r="H328"/>
      <c r="J328"/>
      <c r="L328"/>
      <c r="N328"/>
    </row>
    <row r="329" spans="2:14" x14ac:dyDescent="0.25">
      <c r="B329"/>
      <c r="D329" s="3"/>
      <c r="F329" s="1"/>
      <c r="H329"/>
      <c r="J329"/>
      <c r="L329"/>
      <c r="N329"/>
    </row>
    <row r="330" spans="2:14" x14ac:dyDescent="0.25">
      <c r="B330"/>
      <c r="D330" s="3"/>
      <c r="F330" s="1"/>
      <c r="H330"/>
      <c r="J330"/>
      <c r="L330"/>
      <c r="N330"/>
    </row>
    <row r="331" spans="2:14" x14ac:dyDescent="0.25">
      <c r="B331"/>
      <c r="D331" s="3"/>
      <c r="F331" s="1"/>
      <c r="H331"/>
      <c r="J331"/>
      <c r="L331"/>
      <c r="N331"/>
    </row>
    <row r="332" spans="2:14" x14ac:dyDescent="0.25">
      <c r="B332"/>
      <c r="D332" s="3"/>
      <c r="F332" s="1"/>
      <c r="H332"/>
      <c r="J332"/>
      <c r="L332"/>
      <c r="N332"/>
    </row>
    <row r="333" spans="2:14" x14ac:dyDescent="0.25">
      <c r="B333"/>
      <c r="D333" s="3"/>
      <c r="F333" s="1"/>
      <c r="H333"/>
      <c r="J333"/>
      <c r="L333"/>
      <c r="N333"/>
    </row>
    <row r="334" spans="2:14" x14ac:dyDescent="0.25">
      <c r="B334"/>
      <c r="D334" s="3"/>
      <c r="F334" s="1"/>
      <c r="H334"/>
      <c r="J334"/>
      <c r="L334"/>
      <c r="N334"/>
    </row>
    <row r="335" spans="2:14" x14ac:dyDescent="0.25">
      <c r="B335"/>
      <c r="D335" s="3"/>
      <c r="F335" s="1"/>
      <c r="H335"/>
      <c r="J335"/>
      <c r="L335"/>
      <c r="N335"/>
    </row>
    <row r="336" spans="2:14" x14ac:dyDescent="0.25">
      <c r="B336"/>
      <c r="D336" s="3"/>
      <c r="F336" s="1"/>
      <c r="H336"/>
      <c r="J336"/>
      <c r="L336"/>
      <c r="N336"/>
    </row>
    <row r="337" spans="2:14" x14ac:dyDescent="0.25">
      <c r="B337"/>
      <c r="D337" s="3"/>
      <c r="F337" s="1"/>
      <c r="H337"/>
      <c r="J337"/>
      <c r="L337"/>
      <c r="N337"/>
    </row>
    <row r="338" spans="2:14" x14ac:dyDescent="0.25">
      <c r="B338"/>
      <c r="D338" s="3"/>
      <c r="F338" s="1"/>
      <c r="H338"/>
      <c r="J338"/>
      <c r="L338"/>
      <c r="N338"/>
    </row>
    <row r="339" spans="2:14" x14ac:dyDescent="0.25">
      <c r="B339"/>
      <c r="D339" s="3"/>
      <c r="F339" s="1"/>
      <c r="H339"/>
      <c r="J339"/>
      <c r="L339"/>
      <c r="N339"/>
    </row>
    <row r="340" spans="2:14" x14ac:dyDescent="0.25">
      <c r="B340"/>
      <c r="D340" s="3"/>
      <c r="F340" s="1"/>
      <c r="H340"/>
      <c r="J340"/>
      <c r="L340"/>
      <c r="N340"/>
    </row>
    <row r="341" spans="2:14" x14ac:dyDescent="0.25">
      <c r="B341"/>
      <c r="D341" s="3"/>
      <c r="F341" s="1"/>
      <c r="H341"/>
      <c r="J341"/>
      <c r="L341"/>
      <c r="N341"/>
    </row>
    <row r="342" spans="2:14" x14ac:dyDescent="0.25">
      <c r="B342"/>
      <c r="D342" s="3"/>
      <c r="F342" s="1"/>
      <c r="H342"/>
      <c r="J342"/>
      <c r="L342"/>
      <c r="N342"/>
    </row>
    <row r="343" spans="2:14" x14ac:dyDescent="0.25">
      <c r="B343"/>
      <c r="D343" s="3"/>
      <c r="F343" s="1"/>
      <c r="H343"/>
      <c r="J343"/>
      <c r="L343"/>
      <c r="N343"/>
    </row>
    <row r="344" spans="2:14" x14ac:dyDescent="0.25">
      <c r="B344"/>
      <c r="D344" s="3"/>
      <c r="F344" s="1"/>
      <c r="H344"/>
      <c r="J344"/>
      <c r="L344"/>
      <c r="N344"/>
    </row>
    <row r="345" spans="2:14" x14ac:dyDescent="0.25">
      <c r="B345"/>
      <c r="D345" s="3"/>
      <c r="F345" s="1"/>
      <c r="H345"/>
      <c r="J345"/>
      <c r="L345"/>
      <c r="N345"/>
    </row>
    <row r="346" spans="2:14" x14ac:dyDescent="0.25">
      <c r="B346"/>
      <c r="D346" s="3"/>
      <c r="F346" s="1"/>
      <c r="H346"/>
      <c r="J346"/>
      <c r="L346"/>
      <c r="N346"/>
    </row>
    <row r="347" spans="2:14" x14ac:dyDescent="0.25">
      <c r="B347"/>
      <c r="D347" s="3"/>
      <c r="F347" s="1"/>
      <c r="H347"/>
      <c r="J347"/>
      <c r="L347"/>
      <c r="N347"/>
    </row>
    <row r="348" spans="2:14" x14ac:dyDescent="0.25">
      <c r="B348"/>
      <c r="D348" s="3"/>
      <c r="F348" s="1"/>
      <c r="H348"/>
      <c r="J348"/>
      <c r="L348"/>
      <c r="N348"/>
    </row>
    <row r="349" spans="2:14" x14ac:dyDescent="0.25">
      <c r="B349"/>
      <c r="D349" s="3"/>
      <c r="F349" s="1"/>
      <c r="H349"/>
      <c r="J349"/>
      <c r="L349"/>
      <c r="N349"/>
    </row>
    <row r="350" spans="2:14" x14ac:dyDescent="0.25">
      <c r="B350"/>
      <c r="D350" s="3"/>
      <c r="F350" s="1"/>
      <c r="H350"/>
      <c r="J350"/>
      <c r="L350"/>
      <c r="N350"/>
    </row>
    <row r="351" spans="2:14" x14ac:dyDescent="0.25">
      <c r="B351"/>
      <c r="D351" s="3"/>
      <c r="F351" s="1"/>
      <c r="H351"/>
      <c r="J351"/>
      <c r="L351"/>
      <c r="N351"/>
    </row>
    <row r="352" spans="2:14" x14ac:dyDescent="0.25">
      <c r="B352"/>
      <c r="D352" s="3"/>
      <c r="F352" s="1"/>
      <c r="H352"/>
      <c r="J352"/>
      <c r="L352"/>
      <c r="N352"/>
    </row>
    <row r="353" spans="2:14" x14ac:dyDescent="0.25">
      <c r="B353"/>
      <c r="D353" s="3"/>
      <c r="F353" s="1"/>
      <c r="H353"/>
      <c r="J353"/>
      <c r="L353"/>
      <c r="N353"/>
    </row>
    <row r="354" spans="2:14" x14ac:dyDescent="0.25">
      <c r="B354"/>
      <c r="D354" s="3"/>
      <c r="F354" s="1"/>
      <c r="H354"/>
      <c r="J354"/>
      <c r="L354"/>
      <c r="N354"/>
    </row>
    <row r="355" spans="2:14" x14ac:dyDescent="0.25">
      <c r="B355"/>
      <c r="D355" s="3"/>
      <c r="F355" s="1"/>
      <c r="H355"/>
      <c r="J355"/>
      <c r="L355"/>
      <c r="N355"/>
    </row>
    <row r="356" spans="2:14" x14ac:dyDescent="0.25">
      <c r="B356"/>
      <c r="D356" s="3"/>
      <c r="F356" s="1"/>
      <c r="H356"/>
      <c r="J356"/>
      <c r="L356"/>
      <c r="N356"/>
    </row>
    <row r="357" spans="2:14" x14ac:dyDescent="0.25">
      <c r="B357"/>
      <c r="D357" s="3"/>
      <c r="F357" s="1"/>
      <c r="H357"/>
      <c r="J357"/>
      <c r="L357"/>
      <c r="N357"/>
    </row>
    <row r="358" spans="2:14" x14ac:dyDescent="0.25">
      <c r="B358"/>
      <c r="D358" s="3"/>
      <c r="F358" s="1"/>
      <c r="H358"/>
      <c r="J358"/>
      <c r="L358"/>
      <c r="N358"/>
    </row>
    <row r="359" spans="2:14" x14ac:dyDescent="0.25">
      <c r="B359"/>
      <c r="D359" s="3"/>
      <c r="F359" s="1"/>
      <c r="H359"/>
      <c r="J359"/>
      <c r="L359"/>
      <c r="N359"/>
    </row>
    <row r="360" spans="2:14" x14ac:dyDescent="0.25">
      <c r="B360"/>
      <c r="D360" s="3"/>
      <c r="F360" s="1"/>
      <c r="H360"/>
      <c r="J360"/>
      <c r="L360"/>
      <c r="N360"/>
    </row>
    <row r="361" spans="2:14" x14ac:dyDescent="0.25">
      <c r="B361"/>
      <c r="D361" s="3"/>
      <c r="F361" s="1"/>
      <c r="H361"/>
      <c r="J361"/>
      <c r="L361"/>
      <c r="N361"/>
    </row>
    <row r="362" spans="2:14" x14ac:dyDescent="0.25">
      <c r="B362"/>
      <c r="D362" s="3"/>
      <c r="F362" s="1"/>
      <c r="H362"/>
      <c r="J362"/>
      <c r="L362"/>
      <c r="N362"/>
    </row>
    <row r="363" spans="2:14" x14ac:dyDescent="0.25">
      <c r="B363"/>
      <c r="D363" s="3"/>
      <c r="F363" s="1"/>
      <c r="H363"/>
      <c r="J363"/>
      <c r="L363"/>
      <c r="N363"/>
    </row>
    <row r="364" spans="2:14" x14ac:dyDescent="0.25">
      <c r="B364"/>
      <c r="D364" s="3"/>
      <c r="F364" s="1"/>
      <c r="H364"/>
      <c r="J364"/>
      <c r="L364"/>
      <c r="N364"/>
    </row>
    <row r="365" spans="2:14" x14ac:dyDescent="0.25">
      <c r="B365"/>
      <c r="D365" s="3"/>
      <c r="F365" s="1"/>
      <c r="H365"/>
      <c r="J365"/>
      <c r="L365"/>
      <c r="N365"/>
    </row>
    <row r="366" spans="2:14" x14ac:dyDescent="0.25">
      <c r="B366"/>
      <c r="D366" s="3"/>
      <c r="F366" s="1"/>
      <c r="H366"/>
      <c r="J366"/>
      <c r="L366"/>
      <c r="N366"/>
    </row>
    <row r="367" spans="2:14" x14ac:dyDescent="0.25">
      <c r="B367"/>
      <c r="D367" s="3"/>
      <c r="F367" s="1"/>
      <c r="H367"/>
      <c r="J367"/>
      <c r="L367"/>
      <c r="N367"/>
    </row>
    <row r="368" spans="2:14" x14ac:dyDescent="0.25">
      <c r="B368"/>
      <c r="D368" s="3"/>
      <c r="F368" s="1"/>
      <c r="H368"/>
      <c r="J368"/>
      <c r="L368"/>
      <c r="N368"/>
    </row>
    <row r="369" spans="2:14" x14ac:dyDescent="0.25">
      <c r="B369"/>
      <c r="D369" s="3"/>
      <c r="F369" s="1"/>
      <c r="H369"/>
      <c r="J369"/>
      <c r="L369"/>
      <c r="N369"/>
    </row>
    <row r="370" spans="2:14" x14ac:dyDescent="0.25">
      <c r="B370"/>
      <c r="D370" s="3"/>
      <c r="F370" s="1"/>
      <c r="H370"/>
      <c r="J370"/>
      <c r="L370"/>
      <c r="N370"/>
    </row>
    <row r="371" spans="2:14" x14ac:dyDescent="0.25">
      <c r="B371"/>
      <c r="D371" s="3"/>
      <c r="F371" s="1"/>
      <c r="H371"/>
      <c r="J371"/>
      <c r="L371"/>
      <c r="N371"/>
    </row>
    <row r="372" spans="2:14" x14ac:dyDescent="0.25">
      <c r="B372"/>
      <c r="D372" s="3"/>
      <c r="F372" s="1"/>
      <c r="H372"/>
      <c r="J372"/>
      <c r="L372"/>
      <c r="N372"/>
    </row>
    <row r="373" spans="2:14" x14ac:dyDescent="0.25">
      <c r="B373"/>
      <c r="D373" s="3"/>
      <c r="F373" s="1"/>
      <c r="H373"/>
      <c r="J373"/>
      <c r="L373"/>
      <c r="N373"/>
    </row>
    <row r="374" spans="2:14" x14ac:dyDescent="0.25">
      <c r="B374"/>
      <c r="D374" s="3"/>
      <c r="F374" s="1"/>
      <c r="H374"/>
      <c r="J374"/>
      <c r="L374"/>
      <c r="N374"/>
    </row>
    <row r="375" spans="2:14" x14ac:dyDescent="0.25">
      <c r="B375"/>
      <c r="D375" s="3"/>
      <c r="F375" s="1"/>
      <c r="H375"/>
      <c r="J375"/>
      <c r="L375"/>
      <c r="N375"/>
    </row>
    <row r="376" spans="2:14" x14ac:dyDescent="0.25">
      <c r="B376"/>
      <c r="D376" s="3"/>
      <c r="F376" s="1"/>
      <c r="H376"/>
      <c r="J376"/>
      <c r="L376"/>
      <c r="N376"/>
    </row>
    <row r="377" spans="2:14" x14ac:dyDescent="0.25">
      <c r="B377"/>
      <c r="D377" s="3"/>
      <c r="F377" s="1"/>
      <c r="H377"/>
      <c r="J377"/>
      <c r="L377"/>
      <c r="N377"/>
    </row>
    <row r="378" spans="2:14" x14ac:dyDescent="0.25">
      <c r="B378"/>
      <c r="D378" s="3"/>
      <c r="F378" s="1"/>
      <c r="H378"/>
      <c r="J378"/>
      <c r="L378"/>
      <c r="N378"/>
    </row>
    <row r="379" spans="2:14" x14ac:dyDescent="0.25">
      <c r="B379"/>
      <c r="D379" s="3"/>
      <c r="F379" s="1"/>
      <c r="H379"/>
      <c r="J379"/>
      <c r="L379"/>
      <c r="N379"/>
    </row>
    <row r="380" spans="2:14" x14ac:dyDescent="0.25">
      <c r="B380"/>
      <c r="D380" s="3"/>
      <c r="F380" s="1"/>
      <c r="H380"/>
      <c r="J380"/>
      <c r="L380"/>
      <c r="N380"/>
    </row>
    <row r="381" spans="2:14" x14ac:dyDescent="0.25">
      <c r="B381"/>
      <c r="D381" s="3"/>
      <c r="F381" s="1"/>
      <c r="H381"/>
      <c r="J381"/>
      <c r="L381"/>
      <c r="N381"/>
    </row>
    <row r="382" spans="2:14" x14ac:dyDescent="0.25">
      <c r="B382"/>
      <c r="D382" s="3"/>
      <c r="F382" s="1"/>
      <c r="H382"/>
      <c r="J382"/>
      <c r="L382"/>
      <c r="N382"/>
    </row>
    <row r="383" spans="2:14" x14ac:dyDescent="0.25">
      <c r="B383"/>
      <c r="D383" s="3"/>
      <c r="F383" s="1"/>
      <c r="H383"/>
      <c r="J383"/>
      <c r="L383"/>
      <c r="N383"/>
    </row>
    <row r="384" spans="2:14" x14ac:dyDescent="0.25">
      <c r="B384"/>
      <c r="D384" s="3"/>
      <c r="F384" s="1"/>
      <c r="H384"/>
      <c r="J384"/>
      <c r="L384"/>
      <c r="N384"/>
    </row>
    <row r="385" spans="2:14" x14ac:dyDescent="0.25">
      <c r="B385"/>
      <c r="D385" s="3"/>
      <c r="F385" s="1"/>
      <c r="H385"/>
      <c r="J385"/>
      <c r="L385"/>
      <c r="N385"/>
    </row>
    <row r="386" spans="2:14" x14ac:dyDescent="0.25">
      <c r="B386"/>
      <c r="D386" s="3"/>
      <c r="F386" s="1"/>
      <c r="H386"/>
      <c r="J386"/>
      <c r="L386"/>
      <c r="N386"/>
    </row>
    <row r="387" spans="2:14" x14ac:dyDescent="0.25">
      <c r="B387"/>
      <c r="D387" s="3"/>
      <c r="F387" s="1"/>
      <c r="H387"/>
      <c r="J387"/>
      <c r="L387"/>
      <c r="N387"/>
    </row>
    <row r="388" spans="2:14" x14ac:dyDescent="0.25">
      <c r="B388"/>
      <c r="D388" s="3"/>
      <c r="F388" s="1"/>
      <c r="H388"/>
      <c r="J388"/>
      <c r="L388"/>
      <c r="N388"/>
    </row>
    <row r="389" spans="2:14" x14ac:dyDescent="0.25">
      <c r="B389"/>
      <c r="D389" s="3"/>
      <c r="F389" s="1"/>
      <c r="H389"/>
      <c r="J389"/>
      <c r="L389"/>
      <c r="N389"/>
    </row>
    <row r="390" spans="2:14" x14ac:dyDescent="0.25">
      <c r="B390"/>
      <c r="D390" s="3"/>
      <c r="F390" s="1"/>
      <c r="H390"/>
      <c r="J390"/>
      <c r="L390"/>
      <c r="N390"/>
    </row>
    <row r="391" spans="2:14" x14ac:dyDescent="0.25">
      <c r="B391"/>
      <c r="D391" s="3"/>
      <c r="F391" s="1"/>
      <c r="H391"/>
      <c r="J391"/>
      <c r="L391"/>
      <c r="N391"/>
    </row>
    <row r="392" spans="2:14" x14ac:dyDescent="0.25">
      <c r="B392"/>
      <c r="D392" s="3"/>
      <c r="F392" s="1"/>
      <c r="H392"/>
      <c r="J392"/>
      <c r="L392"/>
      <c r="N392"/>
    </row>
    <row r="393" spans="2:14" x14ac:dyDescent="0.25">
      <c r="B393"/>
      <c r="D393" s="3"/>
      <c r="F393" s="1"/>
      <c r="H393"/>
      <c r="J393"/>
      <c r="L393"/>
      <c r="N393"/>
    </row>
    <row r="394" spans="2:14" x14ac:dyDescent="0.25">
      <c r="B394"/>
      <c r="D394" s="3"/>
      <c r="F394" s="1"/>
      <c r="H394"/>
      <c r="J394"/>
      <c r="L394"/>
      <c r="N394"/>
    </row>
    <row r="395" spans="2:14" x14ac:dyDescent="0.25">
      <c r="B395"/>
      <c r="D395" s="3"/>
      <c r="F395" s="1"/>
      <c r="H395"/>
      <c r="J395"/>
      <c r="L395"/>
      <c r="N395"/>
    </row>
    <row r="396" spans="2:14" x14ac:dyDescent="0.25">
      <c r="B396"/>
      <c r="D396" s="3"/>
      <c r="F396" s="1"/>
      <c r="H396"/>
      <c r="J396"/>
      <c r="L396"/>
      <c r="N396"/>
    </row>
    <row r="397" spans="2:14" x14ac:dyDescent="0.25">
      <c r="B397"/>
      <c r="D397" s="3"/>
      <c r="F397" s="1"/>
      <c r="H397"/>
      <c r="J397"/>
      <c r="L397"/>
      <c r="N397"/>
    </row>
    <row r="398" spans="2:14" x14ac:dyDescent="0.25">
      <c r="B398"/>
      <c r="D398" s="3"/>
      <c r="F398" s="1"/>
      <c r="H398"/>
      <c r="J398"/>
      <c r="L398"/>
      <c r="N398"/>
    </row>
    <row r="399" spans="2:14" x14ac:dyDescent="0.25">
      <c r="B399"/>
      <c r="D399" s="3"/>
      <c r="F399" s="1"/>
      <c r="H399"/>
      <c r="J399"/>
      <c r="L399"/>
      <c r="N399"/>
    </row>
    <row r="400" spans="2:14" x14ac:dyDescent="0.25">
      <c r="B400"/>
      <c r="D400" s="3"/>
      <c r="F400" s="1"/>
      <c r="H400"/>
      <c r="J400"/>
      <c r="L400"/>
      <c r="N400"/>
    </row>
    <row r="401" spans="2:14" x14ac:dyDescent="0.25">
      <c r="B401"/>
      <c r="D401" s="3"/>
      <c r="F401" s="1"/>
      <c r="H401"/>
      <c r="J401"/>
      <c r="L401"/>
      <c r="N401"/>
    </row>
    <row r="402" spans="2:14" x14ac:dyDescent="0.25">
      <c r="B402"/>
      <c r="D402" s="3"/>
      <c r="F402" s="1"/>
      <c r="H402"/>
      <c r="J402"/>
      <c r="L402"/>
      <c r="N402"/>
    </row>
    <row r="403" spans="2:14" x14ac:dyDescent="0.25">
      <c r="B403"/>
      <c r="D403" s="3"/>
      <c r="F403" s="1"/>
      <c r="H403"/>
      <c r="J403"/>
      <c r="L403"/>
      <c r="N403"/>
    </row>
    <row r="404" spans="2:14" x14ac:dyDescent="0.25">
      <c r="B404"/>
      <c r="D404" s="3"/>
      <c r="F404" s="1"/>
      <c r="H404"/>
      <c r="J404"/>
      <c r="L404"/>
      <c r="N404"/>
    </row>
    <row r="405" spans="2:14" x14ac:dyDescent="0.25">
      <c r="B405"/>
      <c r="D405" s="3"/>
      <c r="F405" s="1"/>
      <c r="H405"/>
      <c r="J405"/>
      <c r="L405"/>
      <c r="N405"/>
    </row>
    <row r="406" spans="2:14" x14ac:dyDescent="0.25">
      <c r="B406"/>
      <c r="D406" s="3"/>
      <c r="F406" s="1"/>
      <c r="H406"/>
      <c r="J406"/>
      <c r="L406"/>
      <c r="N406"/>
    </row>
    <row r="407" spans="2:14" x14ac:dyDescent="0.25">
      <c r="B407"/>
      <c r="D407" s="3"/>
      <c r="F407" s="1"/>
      <c r="H407"/>
      <c r="J407"/>
      <c r="L407"/>
      <c r="N407"/>
    </row>
    <row r="408" spans="2:14" x14ac:dyDescent="0.25">
      <c r="B408"/>
      <c r="D408" s="3"/>
      <c r="F408" s="1"/>
      <c r="H408"/>
      <c r="J408"/>
      <c r="L408"/>
      <c r="N408"/>
    </row>
    <row r="409" spans="2:14" x14ac:dyDescent="0.25">
      <c r="B409"/>
      <c r="D409" s="3"/>
      <c r="F409" s="1"/>
      <c r="H409"/>
      <c r="J409"/>
      <c r="L409"/>
      <c r="N409"/>
    </row>
    <row r="410" spans="2:14" x14ac:dyDescent="0.25">
      <c r="B410"/>
      <c r="D410" s="3"/>
      <c r="F410" s="1"/>
      <c r="H410"/>
      <c r="J410"/>
      <c r="L410"/>
      <c r="N410"/>
    </row>
    <row r="411" spans="2:14" x14ac:dyDescent="0.25">
      <c r="B411"/>
      <c r="D411" s="3"/>
      <c r="F411" s="1"/>
      <c r="H411"/>
      <c r="J411"/>
      <c r="L411"/>
      <c r="N411"/>
    </row>
    <row r="412" spans="2:14" x14ac:dyDescent="0.25">
      <c r="B412"/>
      <c r="D412" s="3"/>
      <c r="F412" s="1"/>
      <c r="H412"/>
      <c r="J412"/>
      <c r="L412"/>
      <c r="N412"/>
    </row>
    <row r="413" spans="2:14" x14ac:dyDescent="0.25">
      <c r="B413"/>
      <c r="D413" s="3"/>
      <c r="F413" s="1"/>
      <c r="H413"/>
      <c r="J413"/>
      <c r="L413"/>
      <c r="N413"/>
    </row>
    <row r="414" spans="2:14" x14ac:dyDescent="0.25">
      <c r="B414"/>
      <c r="D414" s="3"/>
      <c r="F414" s="1"/>
      <c r="H414"/>
      <c r="J414"/>
      <c r="L414"/>
      <c r="N414"/>
    </row>
    <row r="415" spans="2:14" x14ac:dyDescent="0.25">
      <c r="B415"/>
      <c r="D415" s="3"/>
      <c r="F415" s="1"/>
      <c r="H415"/>
      <c r="J415"/>
      <c r="L415"/>
      <c r="N415"/>
    </row>
    <row r="416" spans="2:14" x14ac:dyDescent="0.25">
      <c r="B416"/>
      <c r="D416" s="3"/>
      <c r="F416" s="1"/>
      <c r="H416"/>
      <c r="J416"/>
      <c r="L416"/>
      <c r="N416"/>
    </row>
    <row r="417" spans="2:14" x14ac:dyDescent="0.25">
      <c r="B417"/>
      <c r="D417" s="3"/>
      <c r="F417" s="1"/>
      <c r="H417"/>
      <c r="J417"/>
      <c r="L417"/>
      <c r="N417"/>
    </row>
    <row r="418" spans="2:14" x14ac:dyDescent="0.25">
      <c r="B418"/>
      <c r="D418" s="3"/>
      <c r="F418" s="1"/>
      <c r="H418"/>
      <c r="J418"/>
      <c r="L418"/>
      <c r="N418"/>
    </row>
    <row r="419" spans="2:14" x14ac:dyDescent="0.25">
      <c r="B419"/>
      <c r="D419" s="3"/>
      <c r="F419" s="1"/>
      <c r="H419"/>
      <c r="J419"/>
      <c r="L419"/>
      <c r="N419"/>
    </row>
    <row r="420" spans="2:14" x14ac:dyDescent="0.25">
      <c r="B420"/>
      <c r="D420" s="3"/>
      <c r="F420" s="1"/>
      <c r="H420"/>
      <c r="J420"/>
      <c r="L420"/>
      <c r="N420"/>
    </row>
    <row r="421" spans="2:14" x14ac:dyDescent="0.25">
      <c r="B421"/>
      <c r="D421" s="3"/>
      <c r="F421" s="1"/>
      <c r="H421"/>
      <c r="J421"/>
      <c r="L421"/>
      <c r="N421"/>
    </row>
    <row r="422" spans="2:14" x14ac:dyDescent="0.25">
      <c r="B422"/>
      <c r="D422" s="3"/>
      <c r="F422" s="1"/>
      <c r="H422"/>
      <c r="J422"/>
      <c r="L422"/>
      <c r="N422"/>
    </row>
    <row r="423" spans="2:14" x14ac:dyDescent="0.25">
      <c r="B423"/>
      <c r="D423" s="3"/>
      <c r="F423" s="1"/>
      <c r="H423"/>
      <c r="J423"/>
      <c r="L423"/>
      <c r="N423"/>
    </row>
    <row r="424" spans="2:14" x14ac:dyDescent="0.25">
      <c r="B424"/>
      <c r="D424" s="3"/>
      <c r="F424" s="1"/>
      <c r="H424"/>
      <c r="J424"/>
      <c r="L424"/>
      <c r="N424"/>
    </row>
    <row r="425" spans="2:14" x14ac:dyDescent="0.25">
      <c r="B425"/>
      <c r="D425" s="3"/>
      <c r="F425" s="1"/>
      <c r="H425"/>
      <c r="J425"/>
      <c r="L425"/>
      <c r="N425"/>
    </row>
    <row r="426" spans="2:14" x14ac:dyDescent="0.25">
      <c r="B426"/>
      <c r="D426" s="3"/>
      <c r="F426" s="1"/>
      <c r="H426"/>
      <c r="J426"/>
      <c r="L426"/>
      <c r="N426"/>
    </row>
    <row r="427" spans="2:14" x14ac:dyDescent="0.25">
      <c r="B427"/>
      <c r="D427" s="3"/>
      <c r="F427" s="1"/>
      <c r="H427"/>
      <c r="J427"/>
      <c r="L427"/>
      <c r="N427"/>
    </row>
    <row r="428" spans="2:14" x14ac:dyDescent="0.25">
      <c r="B428"/>
      <c r="D428" s="3"/>
      <c r="F428" s="1"/>
      <c r="H428"/>
      <c r="J428"/>
      <c r="L428"/>
      <c r="N428"/>
    </row>
    <row r="429" spans="2:14" x14ac:dyDescent="0.25">
      <c r="B429"/>
      <c r="D429" s="3"/>
      <c r="F429" s="1"/>
      <c r="H429"/>
      <c r="J429"/>
      <c r="L429"/>
      <c r="N429"/>
    </row>
    <row r="430" spans="2:14" x14ac:dyDescent="0.25">
      <c r="B430"/>
      <c r="D430" s="3"/>
      <c r="F430" s="1"/>
      <c r="H430"/>
      <c r="J430"/>
      <c r="L430"/>
      <c r="N430"/>
    </row>
    <row r="431" spans="2:14" x14ac:dyDescent="0.25">
      <c r="B431"/>
      <c r="D431" s="3"/>
      <c r="F431" s="1"/>
      <c r="H431"/>
      <c r="J431"/>
      <c r="L431"/>
      <c r="N431"/>
    </row>
    <row r="432" spans="2:14" x14ac:dyDescent="0.25">
      <c r="B432"/>
      <c r="D432" s="3"/>
      <c r="F432" s="1"/>
      <c r="H432"/>
      <c r="J432"/>
      <c r="L432"/>
      <c r="N432"/>
    </row>
    <row r="433" spans="2:14" x14ac:dyDescent="0.25">
      <c r="B433"/>
      <c r="D433" s="3"/>
      <c r="F433" s="1"/>
      <c r="H433"/>
      <c r="J433"/>
      <c r="L433"/>
      <c r="N433"/>
    </row>
    <row r="434" spans="2:14" x14ac:dyDescent="0.25">
      <c r="B434"/>
      <c r="D434" s="3"/>
      <c r="F434" s="1"/>
      <c r="H434"/>
      <c r="J434"/>
      <c r="L434"/>
      <c r="N434"/>
    </row>
    <row r="435" spans="2:14" x14ac:dyDescent="0.25">
      <c r="B435"/>
      <c r="D435" s="3"/>
      <c r="F435" s="1"/>
      <c r="H435"/>
      <c r="J435"/>
      <c r="L435"/>
      <c r="N435"/>
    </row>
    <row r="436" spans="2:14" x14ac:dyDescent="0.25">
      <c r="B436"/>
      <c r="D436" s="3"/>
      <c r="F436" s="1"/>
      <c r="H436"/>
      <c r="J436"/>
      <c r="L436"/>
      <c r="N436"/>
    </row>
    <row r="437" spans="2:14" x14ac:dyDescent="0.25">
      <c r="B437"/>
      <c r="D437" s="3"/>
      <c r="F437" s="1"/>
      <c r="H437"/>
      <c r="J437"/>
      <c r="L437"/>
      <c r="N437"/>
    </row>
    <row r="438" spans="2:14" x14ac:dyDescent="0.25">
      <c r="B438"/>
      <c r="D438" s="3"/>
      <c r="F438" s="1"/>
      <c r="H438"/>
      <c r="J438"/>
      <c r="L438"/>
      <c r="N438"/>
    </row>
    <row r="439" spans="2:14" x14ac:dyDescent="0.25">
      <c r="B439"/>
      <c r="D439" s="3"/>
      <c r="F439" s="1"/>
      <c r="H439"/>
      <c r="J439"/>
      <c r="L439"/>
      <c r="N439"/>
    </row>
    <row r="440" spans="2:14" x14ac:dyDescent="0.25">
      <c r="B440"/>
      <c r="D440" s="3"/>
      <c r="F440" s="1"/>
      <c r="H440"/>
      <c r="J440"/>
      <c r="L440"/>
      <c r="N440"/>
    </row>
    <row r="441" spans="2:14" x14ac:dyDescent="0.25">
      <c r="B441"/>
      <c r="D441" s="3"/>
      <c r="F441" s="1"/>
      <c r="H441"/>
      <c r="J441"/>
      <c r="L441"/>
      <c r="N441"/>
    </row>
    <row r="442" spans="2:14" x14ac:dyDescent="0.25">
      <c r="B442"/>
      <c r="D442" s="3"/>
      <c r="F442" s="1"/>
      <c r="H442"/>
      <c r="J442"/>
      <c r="L442"/>
      <c r="N442"/>
    </row>
    <row r="443" spans="2:14" x14ac:dyDescent="0.25">
      <c r="B443"/>
      <c r="D443" s="3"/>
      <c r="F443" s="1"/>
      <c r="H443"/>
      <c r="J443"/>
      <c r="L443"/>
      <c r="N443"/>
    </row>
    <row r="444" spans="2:14" x14ac:dyDescent="0.25">
      <c r="B444"/>
      <c r="D444" s="3"/>
      <c r="F444" s="1"/>
      <c r="H444"/>
      <c r="J444"/>
      <c r="L444"/>
      <c r="N444"/>
    </row>
    <row r="445" spans="2:14" x14ac:dyDescent="0.25">
      <c r="B445"/>
      <c r="D445" s="3"/>
      <c r="F445" s="1"/>
      <c r="H445"/>
      <c r="J445"/>
      <c r="L445"/>
      <c r="N445"/>
    </row>
    <row r="446" spans="2:14" x14ac:dyDescent="0.25">
      <c r="B446"/>
      <c r="D446" s="3"/>
      <c r="F446" s="1"/>
      <c r="H446"/>
      <c r="J446"/>
      <c r="L446"/>
      <c r="N446"/>
    </row>
    <row r="447" spans="2:14" x14ac:dyDescent="0.25">
      <c r="B447"/>
      <c r="D447" s="3"/>
      <c r="F447" s="1"/>
      <c r="H447"/>
      <c r="J447"/>
      <c r="L447"/>
      <c r="N447"/>
    </row>
    <row r="448" spans="2:14" x14ac:dyDescent="0.25">
      <c r="B448"/>
      <c r="D448" s="3"/>
      <c r="F448" s="1"/>
      <c r="H448"/>
      <c r="J448"/>
      <c r="L448"/>
      <c r="N448"/>
    </row>
    <row r="449" spans="2:14" x14ac:dyDescent="0.25">
      <c r="B449"/>
      <c r="D449" s="3"/>
      <c r="F449" s="1"/>
      <c r="H449"/>
      <c r="J449"/>
      <c r="L449"/>
      <c r="N449"/>
    </row>
    <row r="450" spans="2:14" x14ac:dyDescent="0.25">
      <c r="B450"/>
      <c r="D450" s="3"/>
      <c r="F450" s="1"/>
      <c r="H450"/>
      <c r="J450"/>
      <c r="L450"/>
      <c r="N450"/>
    </row>
    <row r="451" spans="2:14" x14ac:dyDescent="0.25">
      <c r="B451"/>
      <c r="D451" s="3"/>
      <c r="F451" s="1"/>
      <c r="H451"/>
      <c r="J451"/>
      <c r="L451"/>
      <c r="N451"/>
    </row>
    <row r="452" spans="2:14" x14ac:dyDescent="0.25">
      <c r="B452"/>
      <c r="D452" s="3"/>
      <c r="F452" s="1"/>
      <c r="H452"/>
      <c r="J452"/>
      <c r="L452"/>
      <c r="N452"/>
    </row>
    <row r="453" spans="2:14" x14ac:dyDescent="0.25">
      <c r="B453"/>
      <c r="D453" s="3"/>
      <c r="F453" s="1"/>
      <c r="H453"/>
      <c r="J453"/>
      <c r="L453"/>
      <c r="N453"/>
    </row>
    <row r="454" spans="2:14" x14ac:dyDescent="0.25">
      <c r="B454"/>
      <c r="D454" s="3"/>
      <c r="F454" s="1"/>
      <c r="H454"/>
      <c r="J454"/>
      <c r="L454"/>
      <c r="N454"/>
    </row>
    <row r="455" spans="2:14" x14ac:dyDescent="0.25">
      <c r="B455"/>
      <c r="D455" s="3"/>
      <c r="F455" s="1"/>
      <c r="H455"/>
      <c r="J455"/>
      <c r="L455"/>
      <c r="N455"/>
    </row>
    <row r="456" spans="2:14" x14ac:dyDescent="0.25">
      <c r="B456"/>
      <c r="D456" s="3"/>
      <c r="F456" s="1"/>
      <c r="H456"/>
      <c r="J456"/>
      <c r="L456"/>
      <c r="N456"/>
    </row>
    <row r="457" spans="2:14" x14ac:dyDescent="0.25">
      <c r="B457"/>
      <c r="D457" s="3"/>
      <c r="F457" s="1"/>
      <c r="H457"/>
      <c r="J457"/>
      <c r="L457"/>
      <c r="N457"/>
    </row>
    <row r="458" spans="2:14" x14ac:dyDescent="0.25">
      <c r="B458"/>
      <c r="D458" s="3"/>
      <c r="F458" s="1"/>
      <c r="H458"/>
      <c r="J458"/>
      <c r="L458"/>
      <c r="N458"/>
    </row>
    <row r="459" spans="2:14" x14ac:dyDescent="0.25">
      <c r="B459"/>
      <c r="D459" s="3"/>
      <c r="F459" s="1"/>
      <c r="H459"/>
      <c r="J459"/>
      <c r="L459"/>
      <c r="N459"/>
    </row>
    <row r="460" spans="2:14" x14ac:dyDescent="0.25">
      <c r="B460"/>
      <c r="D460" s="3"/>
      <c r="F460" s="1"/>
      <c r="H460"/>
      <c r="J460"/>
      <c r="L460"/>
      <c r="N460"/>
    </row>
    <row r="461" spans="2:14" x14ac:dyDescent="0.25">
      <c r="B461"/>
      <c r="D461" s="3"/>
      <c r="F461" s="1"/>
      <c r="H461"/>
      <c r="J461"/>
      <c r="L461"/>
      <c r="N461"/>
    </row>
    <row r="462" spans="2:14" x14ac:dyDescent="0.25">
      <c r="B462"/>
      <c r="D462" s="3"/>
      <c r="F462" s="1"/>
      <c r="H462"/>
      <c r="J462"/>
      <c r="L462"/>
      <c r="N462"/>
    </row>
    <row r="463" spans="2:14" x14ac:dyDescent="0.25">
      <c r="B463"/>
      <c r="D463" s="3"/>
      <c r="F463" s="1"/>
      <c r="H463"/>
      <c r="J463"/>
      <c r="L463"/>
      <c r="N463"/>
    </row>
    <row r="464" spans="2:14" x14ac:dyDescent="0.25">
      <c r="B464"/>
      <c r="D464" s="3"/>
      <c r="F464" s="1"/>
      <c r="H464"/>
      <c r="J464"/>
      <c r="L464"/>
      <c r="N464"/>
    </row>
    <row r="465" spans="2:14" x14ac:dyDescent="0.25">
      <c r="B465"/>
      <c r="D465" s="3"/>
      <c r="F465" s="1"/>
      <c r="H465"/>
      <c r="J465"/>
      <c r="L465"/>
      <c r="N465"/>
    </row>
    <row r="466" spans="2:14" x14ac:dyDescent="0.25">
      <c r="B466"/>
      <c r="D466" s="3"/>
      <c r="F466" s="1"/>
      <c r="H466"/>
      <c r="J466"/>
      <c r="L466"/>
      <c r="N466"/>
    </row>
    <row r="467" spans="2:14" x14ac:dyDescent="0.25">
      <c r="B467"/>
      <c r="D467" s="3"/>
      <c r="F467" s="1"/>
      <c r="H467"/>
      <c r="J467"/>
      <c r="L467"/>
      <c r="N467"/>
    </row>
    <row r="468" spans="2:14" x14ac:dyDescent="0.25">
      <c r="B468"/>
      <c r="D468" s="3"/>
      <c r="F468" s="1"/>
      <c r="H468"/>
      <c r="J468"/>
      <c r="L468"/>
      <c r="N468"/>
    </row>
    <row r="469" spans="2:14" x14ac:dyDescent="0.25">
      <c r="B469"/>
      <c r="D469" s="3"/>
      <c r="F469" s="1"/>
      <c r="H469"/>
      <c r="J469"/>
      <c r="L469"/>
      <c r="N469"/>
    </row>
    <row r="470" spans="2:14" x14ac:dyDescent="0.25">
      <c r="B470"/>
      <c r="D470" s="3"/>
      <c r="F470" s="1"/>
      <c r="H470"/>
      <c r="J470"/>
      <c r="L470"/>
      <c r="N470"/>
    </row>
    <row r="471" spans="2:14" x14ac:dyDescent="0.25">
      <c r="B471"/>
      <c r="D471" s="3"/>
      <c r="F471" s="1"/>
      <c r="H471"/>
      <c r="J471"/>
      <c r="L471"/>
      <c r="N471"/>
    </row>
    <row r="472" spans="2:14" x14ac:dyDescent="0.25">
      <c r="B472"/>
      <c r="D472" s="3"/>
      <c r="F472" s="1"/>
      <c r="H472"/>
      <c r="J472"/>
      <c r="L472"/>
      <c r="N472"/>
    </row>
    <row r="473" spans="2:14" x14ac:dyDescent="0.25">
      <c r="B473"/>
      <c r="D473" s="3"/>
      <c r="F473" s="1"/>
      <c r="H473"/>
      <c r="J473"/>
      <c r="L473"/>
      <c r="N473"/>
    </row>
    <row r="474" spans="2:14" x14ac:dyDescent="0.25">
      <c r="B474"/>
      <c r="D474" s="3"/>
      <c r="F474" s="1"/>
      <c r="H474"/>
      <c r="J474"/>
      <c r="L474"/>
      <c r="N474"/>
    </row>
    <row r="475" spans="2:14" x14ac:dyDescent="0.25">
      <c r="B475"/>
      <c r="D475" s="3"/>
      <c r="F475" s="1"/>
      <c r="H475"/>
      <c r="J475"/>
      <c r="L475"/>
      <c r="N475"/>
    </row>
    <row r="476" spans="2:14" x14ac:dyDescent="0.25">
      <c r="B476"/>
      <c r="D476" s="3"/>
      <c r="F476" s="1"/>
      <c r="H476"/>
      <c r="J476"/>
      <c r="L476"/>
      <c r="N476"/>
    </row>
    <row r="477" spans="2:14" x14ac:dyDescent="0.25">
      <c r="B477"/>
      <c r="D477" s="3"/>
      <c r="F477" s="1"/>
      <c r="H477"/>
      <c r="J477"/>
      <c r="L477"/>
      <c r="N477"/>
    </row>
    <row r="478" spans="2:14" x14ac:dyDescent="0.25">
      <c r="B478"/>
      <c r="D478" s="3"/>
      <c r="F478" s="1"/>
      <c r="H478"/>
      <c r="J478"/>
      <c r="L478"/>
      <c r="N478"/>
    </row>
    <row r="479" spans="2:14" x14ac:dyDescent="0.25">
      <c r="B479"/>
      <c r="D479" s="3"/>
      <c r="F479" s="1"/>
      <c r="H479"/>
      <c r="J479"/>
      <c r="L479"/>
      <c r="N479"/>
    </row>
    <row r="480" spans="2:14" x14ac:dyDescent="0.25">
      <c r="B480"/>
      <c r="D480" s="3"/>
      <c r="F480" s="1"/>
      <c r="H480"/>
      <c r="J480"/>
      <c r="L480"/>
      <c r="N480"/>
    </row>
    <row r="481" spans="2:14" x14ac:dyDescent="0.25">
      <c r="B481"/>
      <c r="D481" s="3"/>
      <c r="F481" s="1"/>
      <c r="H481"/>
      <c r="J481"/>
      <c r="L481"/>
      <c r="N481"/>
    </row>
    <row r="482" spans="2:14" x14ac:dyDescent="0.25">
      <c r="B482"/>
      <c r="D482" s="3"/>
      <c r="F482" s="1"/>
      <c r="H482"/>
      <c r="J482"/>
      <c r="L482"/>
      <c r="N482"/>
    </row>
    <row r="483" spans="2:14" x14ac:dyDescent="0.25">
      <c r="B483"/>
      <c r="D483" s="3"/>
      <c r="F483" s="1"/>
      <c r="H483"/>
      <c r="J483"/>
      <c r="L483"/>
      <c r="N483"/>
    </row>
    <row r="484" spans="2:14" x14ac:dyDescent="0.25">
      <c r="B484"/>
      <c r="D484" s="3"/>
      <c r="F484" s="1"/>
      <c r="H484"/>
      <c r="J484"/>
      <c r="L484"/>
      <c r="N484"/>
    </row>
    <row r="485" spans="2:14" x14ac:dyDescent="0.25">
      <c r="B485"/>
      <c r="D485" s="3"/>
      <c r="F485" s="1"/>
      <c r="H485"/>
      <c r="J485"/>
      <c r="L485"/>
      <c r="N485"/>
    </row>
    <row r="486" spans="2:14" x14ac:dyDescent="0.25">
      <c r="B486"/>
      <c r="D486" s="3"/>
      <c r="F486" s="1"/>
      <c r="H486"/>
      <c r="J486"/>
      <c r="L486"/>
      <c r="N486"/>
    </row>
    <row r="487" spans="2:14" x14ac:dyDescent="0.25">
      <c r="B487"/>
      <c r="D487" s="3"/>
      <c r="F487" s="1"/>
      <c r="H487"/>
      <c r="J487"/>
      <c r="L487"/>
      <c r="N487"/>
    </row>
    <row r="488" spans="2:14" x14ac:dyDescent="0.25">
      <c r="B488"/>
      <c r="D488" s="3"/>
      <c r="F488" s="1"/>
      <c r="H488"/>
      <c r="J488"/>
      <c r="L488"/>
      <c r="N488"/>
    </row>
    <row r="489" spans="2:14" x14ac:dyDescent="0.25">
      <c r="B489"/>
      <c r="D489" s="3"/>
      <c r="F489" s="1"/>
      <c r="H489"/>
      <c r="J489"/>
      <c r="L489"/>
      <c r="N489"/>
    </row>
    <row r="490" spans="2:14" x14ac:dyDescent="0.25">
      <c r="B490"/>
      <c r="D490" s="3"/>
      <c r="F490" s="1"/>
      <c r="H490"/>
      <c r="J490"/>
      <c r="L490"/>
      <c r="N490"/>
    </row>
    <row r="491" spans="2:14" x14ac:dyDescent="0.25">
      <c r="B491"/>
      <c r="D491" s="3"/>
      <c r="F491" s="1"/>
      <c r="H491"/>
      <c r="J491"/>
      <c r="L491"/>
      <c r="N491"/>
    </row>
    <row r="492" spans="2:14" x14ac:dyDescent="0.25">
      <c r="B492"/>
      <c r="D492" s="3"/>
      <c r="F492" s="1"/>
      <c r="H492"/>
      <c r="J492"/>
      <c r="L492"/>
      <c r="N492"/>
    </row>
    <row r="493" spans="2:14" x14ac:dyDescent="0.25">
      <c r="B493"/>
      <c r="D493" s="3"/>
      <c r="F493" s="1"/>
      <c r="H493"/>
      <c r="J493"/>
      <c r="L493"/>
      <c r="N493"/>
    </row>
    <row r="494" spans="2:14" x14ac:dyDescent="0.25">
      <c r="B494"/>
      <c r="D494" s="3"/>
      <c r="F494" s="1"/>
      <c r="H494"/>
      <c r="J494"/>
      <c r="L494"/>
      <c r="N494"/>
    </row>
    <row r="495" spans="2:14" x14ac:dyDescent="0.25">
      <c r="B495"/>
      <c r="D495" s="3"/>
      <c r="F495" s="1"/>
      <c r="H495"/>
      <c r="J495"/>
      <c r="L495"/>
      <c r="N495"/>
    </row>
    <row r="496" spans="2:14" x14ac:dyDescent="0.25">
      <c r="B496"/>
      <c r="D496" s="3"/>
      <c r="F496" s="1"/>
      <c r="H496"/>
      <c r="J496"/>
      <c r="L496"/>
      <c r="N496"/>
    </row>
    <row r="497" spans="2:14" x14ac:dyDescent="0.25">
      <c r="B497"/>
      <c r="D497" s="3"/>
      <c r="F497" s="1"/>
      <c r="H497"/>
      <c r="J497"/>
      <c r="L497"/>
      <c r="N497"/>
    </row>
    <row r="498" spans="2:14" x14ac:dyDescent="0.25">
      <c r="B498"/>
      <c r="D498" s="3"/>
      <c r="F498" s="1"/>
      <c r="H498"/>
      <c r="J498"/>
      <c r="L498"/>
      <c r="N498"/>
    </row>
    <row r="499" spans="2:14" x14ac:dyDescent="0.25">
      <c r="B499"/>
      <c r="D499" s="3"/>
      <c r="F499" s="1"/>
      <c r="H499"/>
      <c r="J499"/>
      <c r="L499"/>
      <c r="N499"/>
    </row>
    <row r="500" spans="2:14" x14ac:dyDescent="0.25">
      <c r="B500"/>
      <c r="D500" s="3"/>
      <c r="F500" s="1"/>
      <c r="H500"/>
      <c r="J500"/>
      <c r="L500"/>
      <c r="N500"/>
    </row>
    <row r="501" spans="2:14" x14ac:dyDescent="0.25">
      <c r="B501"/>
      <c r="D501" s="3"/>
      <c r="F501" s="1"/>
      <c r="H501"/>
      <c r="J501"/>
      <c r="L501"/>
      <c r="N501"/>
    </row>
    <row r="502" spans="2:14" x14ac:dyDescent="0.25">
      <c r="B502"/>
      <c r="D502" s="3"/>
      <c r="F502" s="1"/>
      <c r="H502"/>
      <c r="J502"/>
      <c r="L502"/>
      <c r="N502"/>
    </row>
    <row r="503" spans="2:14" x14ac:dyDescent="0.25">
      <c r="B503"/>
      <c r="D503" s="3"/>
      <c r="F503" s="1"/>
      <c r="H503"/>
      <c r="J503"/>
      <c r="L503"/>
      <c r="N503"/>
    </row>
    <row r="504" spans="2:14" x14ac:dyDescent="0.25">
      <c r="B504"/>
      <c r="D504" s="3"/>
      <c r="F504" s="1"/>
      <c r="H504"/>
      <c r="J504"/>
      <c r="L504"/>
      <c r="N504"/>
    </row>
    <row r="505" spans="2:14" x14ac:dyDescent="0.25">
      <c r="B505"/>
      <c r="D505" s="3"/>
      <c r="F505" s="1"/>
      <c r="H505"/>
      <c r="J505"/>
      <c r="L505"/>
      <c r="N505"/>
    </row>
    <row r="506" spans="2:14" x14ac:dyDescent="0.25">
      <c r="B506"/>
      <c r="D506" s="3"/>
      <c r="F506" s="1"/>
      <c r="H506"/>
      <c r="J506"/>
      <c r="L506"/>
      <c r="N506"/>
    </row>
    <row r="507" spans="2:14" x14ac:dyDescent="0.25">
      <c r="B507"/>
      <c r="D507" s="3"/>
      <c r="F507" s="1"/>
      <c r="H507"/>
      <c r="J507"/>
      <c r="L507"/>
      <c r="N507"/>
    </row>
    <row r="508" spans="2:14" x14ac:dyDescent="0.25">
      <c r="B508"/>
      <c r="D508" s="3"/>
      <c r="F508" s="1"/>
      <c r="H508"/>
      <c r="J508"/>
      <c r="L508"/>
      <c r="N508"/>
    </row>
    <row r="509" spans="2:14" x14ac:dyDescent="0.25">
      <c r="B509"/>
      <c r="D509" s="3"/>
      <c r="F509" s="1"/>
      <c r="H509"/>
      <c r="J509"/>
      <c r="L509"/>
      <c r="N509"/>
    </row>
    <row r="510" spans="2:14" x14ac:dyDescent="0.25">
      <c r="B510"/>
      <c r="D510" s="3"/>
      <c r="F510" s="1"/>
      <c r="H510"/>
      <c r="J510"/>
      <c r="L510"/>
      <c r="N510"/>
    </row>
    <row r="511" spans="2:14" x14ac:dyDescent="0.25">
      <c r="B511"/>
      <c r="D511" s="3"/>
      <c r="F511" s="1"/>
      <c r="H511"/>
      <c r="J511"/>
      <c r="L511"/>
      <c r="N511"/>
    </row>
    <row r="512" spans="2:14" x14ac:dyDescent="0.25">
      <c r="B512"/>
      <c r="D512" s="3"/>
      <c r="F512" s="1"/>
      <c r="H512"/>
      <c r="J512"/>
      <c r="L512"/>
      <c r="N512"/>
    </row>
    <row r="513" spans="2:14" x14ac:dyDescent="0.25">
      <c r="B513"/>
      <c r="D513" s="3"/>
      <c r="F513" s="1"/>
      <c r="H513"/>
      <c r="J513"/>
      <c r="L513"/>
      <c r="N513"/>
    </row>
    <row r="514" spans="2:14" x14ac:dyDescent="0.25">
      <c r="B514"/>
      <c r="D514" s="3"/>
      <c r="F514" s="1"/>
      <c r="H514"/>
      <c r="J514"/>
      <c r="L514"/>
      <c r="N514"/>
    </row>
    <row r="515" spans="2:14" x14ac:dyDescent="0.25">
      <c r="B515"/>
      <c r="D515" s="3"/>
      <c r="F515" s="1"/>
      <c r="H515"/>
      <c r="J515"/>
      <c r="L515"/>
      <c r="N515"/>
    </row>
    <row r="516" spans="2:14" x14ac:dyDescent="0.25">
      <c r="B516"/>
      <c r="D516" s="3"/>
      <c r="F516" s="1"/>
      <c r="H516"/>
      <c r="J516"/>
      <c r="L516"/>
      <c r="N516"/>
    </row>
    <row r="517" spans="2:14" x14ac:dyDescent="0.25">
      <c r="B517"/>
      <c r="D517" s="3"/>
      <c r="F517" s="1"/>
      <c r="H517"/>
      <c r="J517"/>
      <c r="L517"/>
      <c r="N517"/>
    </row>
    <row r="518" spans="2:14" x14ac:dyDescent="0.25">
      <c r="B518"/>
      <c r="D518" s="3"/>
      <c r="F518" s="1"/>
      <c r="H518"/>
      <c r="J518"/>
      <c r="L518"/>
      <c r="N518"/>
    </row>
    <row r="519" spans="2:14" x14ac:dyDescent="0.25">
      <c r="B519"/>
      <c r="D519" s="3"/>
      <c r="F519" s="1"/>
      <c r="H519"/>
      <c r="J519"/>
      <c r="L519"/>
      <c r="N519"/>
    </row>
    <row r="520" spans="2:14" x14ac:dyDescent="0.25">
      <c r="B520"/>
      <c r="D520" s="3"/>
      <c r="F520" s="1"/>
      <c r="H520"/>
      <c r="J520"/>
      <c r="L520"/>
      <c r="N520"/>
    </row>
    <row r="521" spans="2:14" x14ac:dyDescent="0.25">
      <c r="B521"/>
      <c r="D521" s="3"/>
      <c r="F521" s="1"/>
      <c r="H521"/>
      <c r="J521"/>
      <c r="L521"/>
      <c r="N521"/>
    </row>
    <row r="522" spans="2:14" x14ac:dyDescent="0.25">
      <c r="B522"/>
      <c r="D522" s="3"/>
      <c r="F522" s="1"/>
      <c r="H522"/>
      <c r="J522"/>
      <c r="L522"/>
      <c r="N522"/>
    </row>
    <row r="523" spans="2:14" x14ac:dyDescent="0.25">
      <c r="B523"/>
      <c r="D523" s="3"/>
      <c r="F523" s="1"/>
      <c r="H523"/>
      <c r="J523"/>
      <c r="L523"/>
      <c r="N523"/>
    </row>
    <row r="524" spans="2:14" x14ac:dyDescent="0.25">
      <c r="B524"/>
      <c r="D524" s="3"/>
      <c r="F524" s="1"/>
      <c r="H524"/>
      <c r="J524"/>
      <c r="L524"/>
      <c r="N524"/>
    </row>
    <row r="525" spans="2:14" x14ac:dyDescent="0.25">
      <c r="B525"/>
      <c r="D525" s="3"/>
      <c r="F525" s="1"/>
      <c r="H525"/>
      <c r="J525"/>
      <c r="L525"/>
      <c r="N525"/>
    </row>
    <row r="526" spans="2:14" x14ac:dyDescent="0.25">
      <c r="B526"/>
      <c r="D526" s="3"/>
      <c r="F526" s="1"/>
      <c r="H526"/>
      <c r="J526"/>
      <c r="L526"/>
      <c r="N526"/>
    </row>
    <row r="527" spans="2:14" x14ac:dyDescent="0.25">
      <c r="B527"/>
      <c r="D527" s="3"/>
      <c r="F527" s="1"/>
      <c r="H527"/>
      <c r="J527"/>
      <c r="L527"/>
      <c r="N527"/>
    </row>
    <row r="528" spans="2:14" x14ac:dyDescent="0.25">
      <c r="B528"/>
      <c r="D528" s="3"/>
      <c r="F528" s="1"/>
      <c r="H528"/>
      <c r="J528"/>
      <c r="L528"/>
      <c r="N528"/>
    </row>
    <row r="529" spans="2:14" x14ac:dyDescent="0.25">
      <c r="B529"/>
      <c r="D529" s="3"/>
      <c r="F529" s="1"/>
      <c r="H529"/>
      <c r="J529"/>
      <c r="L529"/>
      <c r="N529"/>
    </row>
    <row r="530" spans="2:14" x14ac:dyDescent="0.25">
      <c r="B530"/>
      <c r="D530" s="3"/>
      <c r="F530" s="1"/>
      <c r="H530"/>
      <c r="J530"/>
      <c r="L530"/>
      <c r="N530"/>
    </row>
    <row r="531" spans="2:14" x14ac:dyDescent="0.25">
      <c r="B531"/>
      <c r="D531" s="3"/>
      <c r="F531" s="1"/>
      <c r="H531"/>
      <c r="J531"/>
      <c r="L531"/>
      <c r="N531"/>
    </row>
    <row r="532" spans="2:14" x14ac:dyDescent="0.25">
      <c r="B532"/>
      <c r="D532" s="3"/>
      <c r="F532" s="1"/>
      <c r="H532"/>
      <c r="J532"/>
      <c r="L532"/>
      <c r="N532"/>
    </row>
    <row r="533" spans="2:14" x14ac:dyDescent="0.25">
      <c r="B533"/>
      <c r="D533" s="3"/>
      <c r="F533" s="1"/>
      <c r="H533"/>
      <c r="J533"/>
      <c r="L533"/>
      <c r="N533"/>
    </row>
    <row r="534" spans="2:14" x14ac:dyDescent="0.25">
      <c r="B534"/>
      <c r="D534" s="3"/>
      <c r="F534" s="1"/>
      <c r="H534"/>
      <c r="J534"/>
      <c r="L534"/>
      <c r="N534"/>
    </row>
    <row r="535" spans="2:14" x14ac:dyDescent="0.25">
      <c r="B535"/>
      <c r="D535" s="3"/>
      <c r="F535" s="1"/>
      <c r="H535"/>
      <c r="J535"/>
      <c r="L535"/>
      <c r="N535"/>
    </row>
    <row r="536" spans="2:14" x14ac:dyDescent="0.25">
      <c r="B536"/>
      <c r="D536" s="3"/>
      <c r="F536" s="1"/>
      <c r="H536"/>
      <c r="J536"/>
      <c r="L536"/>
      <c r="N536"/>
    </row>
    <row r="537" spans="2:14" x14ac:dyDescent="0.25">
      <c r="B537"/>
      <c r="D537" s="3"/>
      <c r="F537" s="1"/>
      <c r="H537"/>
      <c r="J537"/>
      <c r="L537"/>
      <c r="N537"/>
    </row>
    <row r="538" spans="2:14" x14ac:dyDescent="0.25">
      <c r="B538"/>
      <c r="D538" s="3"/>
      <c r="F538" s="1"/>
      <c r="H538"/>
      <c r="J538"/>
      <c r="L538"/>
      <c r="N538"/>
    </row>
    <row r="539" spans="2:14" x14ac:dyDescent="0.25">
      <c r="B539"/>
      <c r="D539" s="3"/>
      <c r="F539" s="1"/>
      <c r="H539"/>
      <c r="J539"/>
      <c r="L539"/>
      <c r="N539"/>
    </row>
    <row r="540" spans="2:14" x14ac:dyDescent="0.25">
      <c r="B540"/>
      <c r="D540" s="3"/>
      <c r="F540" s="1"/>
      <c r="H540"/>
      <c r="J540"/>
      <c r="L540"/>
      <c r="N540"/>
    </row>
    <row r="541" spans="2:14" x14ac:dyDescent="0.25">
      <c r="B541"/>
      <c r="D541" s="3"/>
      <c r="F541" s="1"/>
      <c r="H541"/>
      <c r="J541"/>
      <c r="L541"/>
      <c r="N541"/>
    </row>
    <row r="542" spans="2:14" x14ac:dyDescent="0.25">
      <c r="B542"/>
      <c r="D542" s="3"/>
      <c r="F542" s="1"/>
      <c r="H542"/>
      <c r="J542"/>
      <c r="L542"/>
      <c r="N542"/>
    </row>
    <row r="543" spans="2:14" x14ac:dyDescent="0.25">
      <c r="B543"/>
      <c r="D543" s="3"/>
      <c r="F543" s="1"/>
      <c r="H543"/>
      <c r="J543"/>
      <c r="L543"/>
      <c r="N543"/>
    </row>
    <row r="544" spans="2:14" x14ac:dyDescent="0.25">
      <c r="B544"/>
      <c r="D544" s="3"/>
      <c r="F544" s="1"/>
      <c r="H544"/>
      <c r="J544"/>
      <c r="L544"/>
      <c r="N544"/>
    </row>
    <row r="545" spans="2:14" x14ac:dyDescent="0.25">
      <c r="B545"/>
      <c r="D545" s="3"/>
      <c r="F545" s="1"/>
      <c r="H545"/>
      <c r="J545"/>
      <c r="L545"/>
      <c r="N545"/>
    </row>
    <row r="546" spans="2:14" x14ac:dyDescent="0.25">
      <c r="B546"/>
      <c r="D546" s="3"/>
      <c r="F546" s="1"/>
      <c r="H546"/>
      <c r="J546"/>
      <c r="L546"/>
      <c r="N546"/>
    </row>
    <row r="547" spans="2:14" x14ac:dyDescent="0.25">
      <c r="B547"/>
      <c r="D547" s="3"/>
      <c r="F547" s="1"/>
      <c r="H547"/>
      <c r="J547"/>
      <c r="L547"/>
      <c r="N547"/>
    </row>
    <row r="548" spans="2:14" x14ac:dyDescent="0.25">
      <c r="B548"/>
      <c r="D548" s="3"/>
      <c r="F548" s="1"/>
      <c r="H548"/>
      <c r="J548"/>
      <c r="L548"/>
      <c r="N548"/>
    </row>
    <row r="549" spans="2:14" x14ac:dyDescent="0.25">
      <c r="B549"/>
      <c r="D549" s="3"/>
      <c r="F549" s="1"/>
      <c r="H549"/>
      <c r="J549"/>
      <c r="L549"/>
      <c r="N549"/>
    </row>
    <row r="550" spans="2:14" x14ac:dyDescent="0.25">
      <c r="B550"/>
      <c r="D550" s="3"/>
      <c r="F550" s="1"/>
      <c r="H550"/>
      <c r="J550"/>
      <c r="L550"/>
      <c r="N550"/>
    </row>
    <row r="551" spans="2:14" x14ac:dyDescent="0.25">
      <c r="B551"/>
      <c r="D551" s="3"/>
      <c r="F551" s="1"/>
      <c r="H551"/>
      <c r="J551"/>
      <c r="L551"/>
      <c r="N551"/>
    </row>
    <row r="552" spans="2:14" x14ac:dyDescent="0.25">
      <c r="B552"/>
      <c r="D552" s="3"/>
      <c r="F552" s="1"/>
      <c r="H552"/>
      <c r="J552"/>
      <c r="L552"/>
      <c r="N552"/>
    </row>
    <row r="553" spans="2:14" x14ac:dyDescent="0.25">
      <c r="B553"/>
      <c r="D553" s="3"/>
      <c r="F553" s="1"/>
      <c r="H553"/>
      <c r="J553"/>
      <c r="L553"/>
      <c r="N553"/>
    </row>
    <row r="554" spans="2:14" x14ac:dyDescent="0.25">
      <c r="B554"/>
      <c r="D554" s="3"/>
      <c r="F554" s="1"/>
      <c r="H554"/>
      <c r="J554"/>
      <c r="L554"/>
      <c r="N554"/>
    </row>
    <row r="555" spans="2:14" x14ac:dyDescent="0.25">
      <c r="B555"/>
      <c r="D555" s="3"/>
      <c r="F555" s="1"/>
      <c r="H555"/>
      <c r="J555"/>
      <c r="L555"/>
      <c r="N555"/>
    </row>
    <row r="556" spans="2:14" x14ac:dyDescent="0.25">
      <c r="B556"/>
      <c r="D556" s="3"/>
      <c r="F556" s="1"/>
      <c r="H556"/>
      <c r="J556"/>
      <c r="L556"/>
      <c r="N556"/>
    </row>
    <row r="557" spans="2:14" x14ac:dyDescent="0.25">
      <c r="B557"/>
      <c r="D557" s="3"/>
      <c r="F557" s="1"/>
      <c r="H557"/>
      <c r="J557"/>
      <c r="L557"/>
      <c r="N557"/>
    </row>
    <row r="558" spans="2:14" x14ac:dyDescent="0.25">
      <c r="B558"/>
      <c r="D558" s="3"/>
      <c r="F558" s="1"/>
      <c r="H558"/>
      <c r="J558"/>
      <c r="L558"/>
      <c r="N558"/>
    </row>
    <row r="559" spans="2:14" x14ac:dyDescent="0.25">
      <c r="B559"/>
      <c r="D559" s="3"/>
      <c r="F559" s="1"/>
      <c r="H559"/>
      <c r="J559"/>
      <c r="L559"/>
      <c r="N559"/>
    </row>
    <row r="560" spans="2:14" x14ac:dyDescent="0.25">
      <c r="B560"/>
      <c r="D560" s="3"/>
      <c r="F560" s="1"/>
      <c r="H560"/>
      <c r="J560"/>
      <c r="L560"/>
      <c r="N560"/>
    </row>
    <row r="561" spans="2:14" x14ac:dyDescent="0.25">
      <c r="B561"/>
      <c r="D561" s="3"/>
      <c r="F561" s="1"/>
      <c r="H561"/>
      <c r="J561"/>
      <c r="L561"/>
      <c r="N561"/>
    </row>
    <row r="562" spans="2:14" x14ac:dyDescent="0.25">
      <c r="B562"/>
      <c r="D562" s="3"/>
      <c r="F562" s="1"/>
      <c r="H562"/>
      <c r="J562"/>
      <c r="L562"/>
      <c r="N562"/>
    </row>
    <row r="563" spans="2:14" x14ac:dyDescent="0.25">
      <c r="B563"/>
      <c r="D563" s="3"/>
      <c r="F563" s="1"/>
      <c r="H563"/>
      <c r="J563"/>
      <c r="L563"/>
      <c r="N563"/>
    </row>
    <row r="564" spans="2:14" x14ac:dyDescent="0.25">
      <c r="B564"/>
      <c r="D564" s="3"/>
      <c r="F564" s="1"/>
      <c r="H564"/>
      <c r="J564"/>
      <c r="L564"/>
      <c r="N564"/>
    </row>
    <row r="565" spans="2:14" x14ac:dyDescent="0.25">
      <c r="B565"/>
      <c r="D565" s="3"/>
      <c r="F565" s="1"/>
      <c r="H565"/>
      <c r="J565"/>
      <c r="L565"/>
      <c r="N565"/>
    </row>
    <row r="566" spans="2:14" x14ac:dyDescent="0.25">
      <c r="B566"/>
      <c r="D566" s="3"/>
      <c r="F566" s="1"/>
      <c r="H566"/>
      <c r="J566"/>
      <c r="L566"/>
      <c r="N566"/>
    </row>
    <row r="567" spans="2:14" x14ac:dyDescent="0.25">
      <c r="B567"/>
      <c r="D567" s="3"/>
      <c r="F567" s="1"/>
      <c r="H567"/>
      <c r="J567"/>
      <c r="L567"/>
      <c r="N567"/>
    </row>
    <row r="568" spans="2:14" x14ac:dyDescent="0.25">
      <c r="B568"/>
      <c r="D568" s="3"/>
      <c r="F568" s="1"/>
      <c r="H568"/>
      <c r="J568"/>
      <c r="L568"/>
      <c r="N568"/>
    </row>
    <row r="569" spans="2:14" x14ac:dyDescent="0.25">
      <c r="B569"/>
      <c r="D569" s="3"/>
      <c r="F569" s="1"/>
      <c r="H569"/>
      <c r="J569"/>
      <c r="L569"/>
      <c r="N569"/>
    </row>
    <row r="570" spans="2:14" x14ac:dyDescent="0.25">
      <c r="B570"/>
      <c r="D570" s="3"/>
      <c r="F570" s="1"/>
      <c r="H570"/>
      <c r="J570"/>
      <c r="L570"/>
      <c r="N570"/>
    </row>
    <row r="571" spans="2:14" x14ac:dyDescent="0.25">
      <c r="B571"/>
      <c r="D571" s="3"/>
      <c r="F571" s="1"/>
      <c r="H571"/>
      <c r="J571"/>
      <c r="L571"/>
      <c r="N571"/>
    </row>
    <row r="572" spans="2:14" x14ac:dyDescent="0.25">
      <c r="B572"/>
      <c r="D572" s="3"/>
      <c r="F572" s="1"/>
      <c r="H572"/>
      <c r="J572"/>
      <c r="L572"/>
      <c r="N572"/>
    </row>
    <row r="573" spans="2:14" x14ac:dyDescent="0.25">
      <c r="B573"/>
      <c r="D573" s="3"/>
      <c r="F573" s="1"/>
      <c r="H573"/>
      <c r="J573"/>
      <c r="L573"/>
      <c r="N573"/>
    </row>
    <row r="574" spans="2:14" x14ac:dyDescent="0.25">
      <c r="B574"/>
      <c r="D574" s="3"/>
      <c r="F574" s="1"/>
      <c r="H574"/>
      <c r="J574"/>
      <c r="L574"/>
      <c r="N574"/>
    </row>
    <row r="575" spans="2:14" x14ac:dyDescent="0.25">
      <c r="B575"/>
      <c r="D575" s="3"/>
      <c r="F575" s="1"/>
      <c r="H575"/>
      <c r="J575"/>
      <c r="L575"/>
      <c r="N575"/>
    </row>
    <row r="576" spans="2:14" x14ac:dyDescent="0.25">
      <c r="B576"/>
      <c r="D576" s="3"/>
      <c r="F576" s="1"/>
      <c r="H576"/>
      <c r="J576"/>
      <c r="L576"/>
      <c r="N576"/>
    </row>
    <row r="577" spans="2:14" x14ac:dyDescent="0.25">
      <c r="B577"/>
      <c r="D577" s="3"/>
      <c r="F577" s="1"/>
      <c r="H577"/>
      <c r="J577"/>
      <c r="L577"/>
      <c r="N577"/>
    </row>
    <row r="578" spans="2:14" x14ac:dyDescent="0.25">
      <c r="B578"/>
      <c r="D578" s="3"/>
      <c r="F578" s="1"/>
      <c r="H578"/>
      <c r="J578"/>
      <c r="L578"/>
      <c r="N578"/>
    </row>
    <row r="579" spans="2:14" x14ac:dyDescent="0.25">
      <c r="B579"/>
      <c r="D579" s="3"/>
      <c r="F579" s="1"/>
      <c r="H579"/>
      <c r="J579"/>
      <c r="L579"/>
      <c r="N579"/>
    </row>
    <row r="580" spans="2:14" x14ac:dyDescent="0.25">
      <c r="B580"/>
      <c r="D580" s="3"/>
      <c r="F580" s="1"/>
      <c r="H580"/>
      <c r="J580"/>
      <c r="L580"/>
      <c r="N580"/>
    </row>
    <row r="581" spans="2:14" x14ac:dyDescent="0.25">
      <c r="B581"/>
      <c r="D581" s="3"/>
      <c r="F581" s="1"/>
      <c r="H581"/>
      <c r="J581"/>
      <c r="L581"/>
      <c r="N581"/>
    </row>
    <row r="582" spans="2:14" x14ac:dyDescent="0.25">
      <c r="B582"/>
      <c r="D582" s="3"/>
      <c r="F582" s="1"/>
      <c r="H582"/>
      <c r="J582"/>
      <c r="L582"/>
      <c r="N582"/>
    </row>
    <row r="583" spans="2:14" x14ac:dyDescent="0.25">
      <c r="B583"/>
      <c r="D583" s="3"/>
      <c r="F583" s="1"/>
      <c r="H583"/>
      <c r="J583"/>
      <c r="L583"/>
      <c r="N583"/>
    </row>
    <row r="584" spans="2:14" x14ac:dyDescent="0.25">
      <c r="B584"/>
      <c r="D584" s="3"/>
      <c r="F584" s="1"/>
      <c r="H584"/>
      <c r="J584"/>
      <c r="L584"/>
      <c r="N584"/>
    </row>
    <row r="585" spans="2:14" x14ac:dyDescent="0.25">
      <c r="B585"/>
      <c r="D585" s="3"/>
      <c r="F585" s="1"/>
      <c r="H585"/>
      <c r="J585"/>
      <c r="L585"/>
      <c r="N585"/>
    </row>
    <row r="586" spans="2:14" x14ac:dyDescent="0.25">
      <c r="B586"/>
      <c r="D586" s="3"/>
      <c r="F586" s="1"/>
      <c r="H586"/>
      <c r="J586"/>
      <c r="L586"/>
      <c r="N586"/>
    </row>
    <row r="587" spans="2:14" x14ac:dyDescent="0.25">
      <c r="B587"/>
      <c r="D587" s="3"/>
      <c r="F587" s="1"/>
      <c r="H587"/>
      <c r="J587"/>
      <c r="L587"/>
      <c r="N587"/>
    </row>
    <row r="588" spans="2:14" x14ac:dyDescent="0.25">
      <c r="B588"/>
      <c r="D588" s="3"/>
      <c r="F588" s="1"/>
      <c r="H588"/>
      <c r="J588"/>
      <c r="L588"/>
      <c r="N588"/>
    </row>
    <row r="589" spans="2:14" x14ac:dyDescent="0.25">
      <c r="B589"/>
      <c r="D589" s="3"/>
      <c r="F589" s="1"/>
      <c r="H589"/>
      <c r="J589"/>
      <c r="L589"/>
      <c r="N589"/>
    </row>
    <row r="590" spans="2:14" x14ac:dyDescent="0.25">
      <c r="B590"/>
      <c r="D590" s="3"/>
      <c r="F590" s="1"/>
      <c r="H590"/>
      <c r="J590"/>
      <c r="L590"/>
      <c r="N590"/>
    </row>
    <row r="591" spans="2:14" x14ac:dyDescent="0.25">
      <c r="B591"/>
      <c r="D591" s="3"/>
      <c r="F591" s="1"/>
      <c r="H591"/>
      <c r="J591"/>
      <c r="L591"/>
      <c r="N591"/>
    </row>
    <row r="592" spans="2:14" x14ac:dyDescent="0.25">
      <c r="B592"/>
      <c r="D592" s="3"/>
      <c r="F592" s="1"/>
      <c r="H592"/>
      <c r="J592"/>
      <c r="L592"/>
      <c r="N592"/>
    </row>
    <row r="593" spans="2:14" x14ac:dyDescent="0.25">
      <c r="B593"/>
      <c r="D593" s="3"/>
      <c r="F593" s="1"/>
      <c r="H593"/>
      <c r="J593"/>
      <c r="L593"/>
      <c r="N593"/>
    </row>
    <row r="594" spans="2:14" x14ac:dyDescent="0.25">
      <c r="B594"/>
      <c r="D594" s="3"/>
      <c r="F594" s="1"/>
      <c r="H594"/>
      <c r="J594"/>
      <c r="L594"/>
      <c r="N594"/>
    </row>
    <row r="595" spans="2:14" x14ac:dyDescent="0.25">
      <c r="B595"/>
      <c r="D595" s="3"/>
      <c r="F595" s="1"/>
      <c r="H595"/>
      <c r="J595"/>
      <c r="L595"/>
      <c r="N595"/>
    </row>
    <row r="596" spans="2:14" x14ac:dyDescent="0.25">
      <c r="B596"/>
      <c r="D596" s="3"/>
      <c r="F596" s="1"/>
      <c r="H596"/>
      <c r="J596"/>
      <c r="L596"/>
      <c r="N596"/>
    </row>
    <row r="597" spans="2:14" x14ac:dyDescent="0.25">
      <c r="B597"/>
      <c r="D597" s="3"/>
      <c r="F597" s="1"/>
      <c r="H597"/>
      <c r="J597"/>
      <c r="L597"/>
      <c r="N597"/>
    </row>
    <row r="598" spans="2:14" x14ac:dyDescent="0.25">
      <c r="B598"/>
      <c r="D598" s="3"/>
      <c r="F598" s="1"/>
      <c r="H598"/>
      <c r="J598"/>
      <c r="L598"/>
      <c r="N598"/>
    </row>
    <row r="599" spans="2:14" x14ac:dyDescent="0.25">
      <c r="B599"/>
      <c r="D599" s="3"/>
      <c r="F599" s="1"/>
      <c r="H599"/>
      <c r="J599"/>
      <c r="L599"/>
      <c r="N599"/>
    </row>
    <row r="600" spans="2:14" x14ac:dyDescent="0.25">
      <c r="B600"/>
      <c r="D600" s="3"/>
      <c r="F600" s="1"/>
      <c r="H600"/>
      <c r="J600"/>
      <c r="L600"/>
      <c r="N600"/>
    </row>
    <row r="601" spans="2:14" x14ac:dyDescent="0.25">
      <c r="B601"/>
      <c r="D601" s="3"/>
      <c r="F601" s="1"/>
      <c r="H601"/>
      <c r="J601"/>
      <c r="L601"/>
      <c r="N601"/>
    </row>
    <row r="602" spans="2:14" x14ac:dyDescent="0.25">
      <c r="B602"/>
      <c r="D602" s="3"/>
      <c r="F602" s="1"/>
      <c r="H602"/>
      <c r="J602"/>
      <c r="L602"/>
      <c r="N602"/>
    </row>
    <row r="603" spans="2:14" x14ac:dyDescent="0.25">
      <c r="B603"/>
      <c r="D603" s="3"/>
      <c r="F603" s="1"/>
      <c r="H603"/>
      <c r="J603"/>
      <c r="L603"/>
      <c r="N603"/>
    </row>
    <row r="604" spans="2:14" x14ac:dyDescent="0.25">
      <c r="B604"/>
      <c r="D604" s="3"/>
      <c r="F604" s="1"/>
      <c r="H604"/>
      <c r="J604"/>
      <c r="L604"/>
      <c r="N604"/>
    </row>
    <row r="605" spans="2:14" x14ac:dyDescent="0.25">
      <c r="B605"/>
      <c r="D605" s="3"/>
      <c r="F605" s="1"/>
      <c r="H605"/>
      <c r="J605"/>
      <c r="L605"/>
      <c r="N605"/>
    </row>
    <row r="606" spans="2:14" x14ac:dyDescent="0.25">
      <c r="B606"/>
      <c r="D606" s="3"/>
      <c r="F606" s="1"/>
      <c r="H606"/>
      <c r="J606"/>
      <c r="L606"/>
      <c r="N606"/>
    </row>
    <row r="607" spans="2:14" x14ac:dyDescent="0.25">
      <c r="B607"/>
      <c r="D607" s="3"/>
      <c r="F607" s="1"/>
      <c r="H607"/>
      <c r="J607"/>
      <c r="L607"/>
      <c r="N607"/>
    </row>
    <row r="608" spans="2:14" x14ac:dyDescent="0.25">
      <c r="B608"/>
      <c r="D608" s="3"/>
      <c r="F608" s="1"/>
      <c r="H608"/>
      <c r="J608"/>
      <c r="L608"/>
      <c r="N608"/>
    </row>
    <row r="609" spans="2:14" x14ac:dyDescent="0.25">
      <c r="B609"/>
      <c r="D609" s="3"/>
      <c r="F609" s="1"/>
      <c r="H609"/>
      <c r="J609"/>
      <c r="L609"/>
      <c r="N609"/>
    </row>
    <row r="610" spans="2:14" x14ac:dyDescent="0.25">
      <c r="B610"/>
      <c r="D610" s="3"/>
      <c r="F610" s="1"/>
      <c r="H610"/>
      <c r="J610"/>
      <c r="L610"/>
      <c r="N610"/>
    </row>
    <row r="611" spans="2:14" x14ac:dyDescent="0.25">
      <c r="B611"/>
      <c r="D611" s="3"/>
      <c r="F611" s="1"/>
      <c r="H611"/>
      <c r="J611"/>
      <c r="L611"/>
      <c r="N611"/>
    </row>
    <row r="612" spans="2:14" x14ac:dyDescent="0.25">
      <c r="B612"/>
      <c r="D612" s="3"/>
      <c r="F612" s="1"/>
      <c r="H612"/>
      <c r="J612"/>
      <c r="L612"/>
      <c r="N612"/>
    </row>
    <row r="613" spans="2:14" x14ac:dyDescent="0.25">
      <c r="B613"/>
      <c r="D613" s="3"/>
      <c r="F613" s="1"/>
      <c r="H613"/>
      <c r="J613"/>
      <c r="L613"/>
      <c r="N613"/>
    </row>
    <row r="614" spans="2:14" x14ac:dyDescent="0.25">
      <c r="B614"/>
      <c r="D614" s="3"/>
      <c r="F614" s="1"/>
      <c r="H614"/>
      <c r="J614"/>
      <c r="L614"/>
      <c r="N614"/>
    </row>
    <row r="615" spans="2:14" x14ac:dyDescent="0.25">
      <c r="B615"/>
      <c r="D615" s="3"/>
      <c r="F615" s="1"/>
      <c r="H615"/>
      <c r="J615"/>
      <c r="L615"/>
      <c r="N615"/>
    </row>
    <row r="616" spans="2:14" x14ac:dyDescent="0.25">
      <c r="B616"/>
      <c r="D616" s="3"/>
      <c r="F616" s="1"/>
      <c r="H616"/>
      <c r="J616"/>
      <c r="L616"/>
      <c r="N616"/>
    </row>
    <row r="617" spans="2:14" x14ac:dyDescent="0.25">
      <c r="B617"/>
      <c r="D617" s="3"/>
      <c r="F617" s="1"/>
      <c r="H617"/>
      <c r="J617"/>
      <c r="L617"/>
      <c r="N617"/>
    </row>
    <row r="618" spans="2:14" x14ac:dyDescent="0.25">
      <c r="B618"/>
      <c r="D618" s="3"/>
      <c r="F618" s="1"/>
      <c r="H618"/>
      <c r="J618"/>
      <c r="L618"/>
      <c r="N618"/>
    </row>
    <row r="619" spans="2:14" x14ac:dyDescent="0.25">
      <c r="B619"/>
      <c r="D619" s="3"/>
      <c r="F619" s="1"/>
      <c r="H619"/>
      <c r="J619"/>
      <c r="L619"/>
      <c r="N619"/>
    </row>
    <row r="620" spans="2:14" x14ac:dyDescent="0.25">
      <c r="B620"/>
      <c r="D620" s="3"/>
      <c r="F620" s="1"/>
      <c r="H620"/>
      <c r="J620"/>
      <c r="N620"/>
    </row>
    <row r="621" spans="2:14" x14ac:dyDescent="0.25">
      <c r="B621"/>
      <c r="F621" s="1"/>
      <c r="H621"/>
      <c r="J621"/>
      <c r="N621"/>
    </row>
    <row r="622" spans="2:14" x14ac:dyDescent="0.25">
      <c r="B622"/>
      <c r="F622" s="1"/>
      <c r="J622"/>
      <c r="N622"/>
    </row>
    <row r="623" spans="2:14" x14ac:dyDescent="0.25">
      <c r="B623"/>
      <c r="J623"/>
      <c r="N623"/>
    </row>
    <row r="624" spans="2:14" x14ac:dyDescent="0.25">
      <c r="B624"/>
      <c r="J624"/>
      <c r="N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 s="31"/>
    </row>
  </sheetData>
  <sortState ref="P5:P89">
    <sortCondition ref="P5:P89"/>
  </sortState>
  <dataConsolidate/>
  <mergeCells count="1">
    <mergeCell ref="B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PARCO MEZZI</vt:lpstr>
      <vt:lpstr>Elenchi a discesa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2025-09-27T08:46:34Z</dcterms:modified>
</cp:coreProperties>
</file>